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structions" sheetId="1" state="visible" r:id="rId1"/>
    <sheet name="Setup" sheetId="2" state="visible" r:id="rId2"/>
    <sheet name="Dashboard" sheetId="3" state="visible" r:id="rId3"/>
    <sheet name="Meals Grid" sheetId="4" state="visible" r:id="rId4"/>
    <sheet name="Members &amp; Balances" sheetId="5" state="visible" r:id="rId5"/>
    <sheet name="Expenses" sheetId="6" state="visible" r:id="rId6"/>
    <sheet name="Deposits" sheetId="7" state="visible" r:id="rId7"/>
  </sheets>
  <definedNames/>
  <calcPr calcId="124519" fullCalcOnLoad="1"/>
</workbook>
</file>

<file path=xl/styles.xml><?xml version="1.0" encoding="utf-8"?>
<styleSheet xmlns="http://schemas.openxmlformats.org/spreadsheetml/2006/main">
  <numFmts count="1">
    <numFmt numFmtId="164" formatCode="৳#,##0.00"/>
  </numFmts>
  <fonts count="11">
    <font>
      <name val="Calibri"/>
      <family val="2"/>
      <color theme="1"/>
      <sz val="11"/>
      <scheme val="minor"/>
    </font>
    <font>
      <name val="Segoe UI"/>
      <b val="1"/>
      <color rgb="000F766E"/>
      <sz val="18"/>
    </font>
    <font>
      <name val="Segoe UI"/>
      <i val="1"/>
      <color rgb="0064748B"/>
      <sz val="10"/>
    </font>
    <font>
      <name val="Segoe UI"/>
      <b val="1"/>
      <color rgb="000F172A"/>
      <sz val="12"/>
    </font>
    <font>
      <name val="Segoe UI"/>
      <color rgb="001E293B"/>
      <sz val="10"/>
    </font>
    <font>
      <name val="Segoe UI"/>
      <b val="1"/>
      <color rgb="001E293B"/>
      <sz val="10"/>
    </font>
    <font>
      <name val="Segoe UI"/>
      <i val="1"/>
      <color rgb="0064748B"/>
      <sz val="9"/>
    </font>
    <font>
      <name val="Segoe UI"/>
      <b val="1"/>
      <color rgb="001E293B"/>
      <sz val="16"/>
    </font>
    <font>
      <name val="Segoe UI"/>
      <b val="1"/>
      <color rgb="00FFFFFF"/>
      <sz val="10"/>
    </font>
    <font>
      <name val="Segoe UI"/>
      <b val="1"/>
      <color rgb="000F766E"/>
      <sz val="11"/>
    </font>
    <font>
      <name val="Segoe UI"/>
      <b val="1"/>
      <color rgb="000F766E"/>
      <sz val="9"/>
    </font>
  </fonts>
  <fills count="8">
    <fill>
      <patternFill/>
    </fill>
    <fill>
      <patternFill patternType="gray125"/>
    </fill>
    <fill>
      <patternFill patternType="solid">
        <fgColor rgb="00F1F5F9"/>
        <bgColor rgb="00F1F5F9"/>
      </patternFill>
    </fill>
    <fill>
      <patternFill patternType="solid">
        <fgColor rgb="001E293B"/>
        <bgColor rgb="001E293B"/>
      </patternFill>
    </fill>
    <fill>
      <patternFill patternType="solid">
        <fgColor rgb="000F766E"/>
        <bgColor rgb="000F766E"/>
      </patternFill>
    </fill>
    <fill>
      <patternFill patternType="solid">
        <fgColor rgb="00F8FAFC"/>
        <bgColor rgb="00F8FAFC"/>
      </patternFill>
    </fill>
    <fill>
      <patternFill patternType="solid">
        <fgColor rgb="00CCFBF1"/>
        <bgColor rgb="00CCFBF1"/>
      </patternFill>
    </fill>
    <fill>
      <patternFill patternType="solid">
        <fgColor rgb="00334155"/>
        <bgColor rgb="00334155"/>
      </patternFill>
    </fill>
  </fills>
  <borders count="3">
    <border>
      <left/>
      <right/>
      <top/>
      <bottom/>
      <diagonal/>
    </border>
    <border>
      <left style="thin">
        <color rgb="00E2E8F0"/>
      </left>
      <right style="thin">
        <color rgb="00E2E8F0"/>
      </right>
      <top style="thin">
        <color rgb="00E2E8F0"/>
      </top>
      <bottom style="thin">
        <color rgb="00E2E8F0"/>
      </bottom>
    </border>
    <border>
      <top style="thin">
        <color rgb="00E2E8F0"/>
      </top>
      <bottom style="double">
        <color rgb="001E293B"/>
      </bottom>
    </border>
  </borders>
  <cellStyleXfs count="1">
    <xf numFmtId="0" fontId="0" fillId="0" borderId="0"/>
  </cellStyleXfs>
  <cellXfs count="5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5" fillId="2" borderId="1" pivotButton="0" quotePrefix="0" xfId="0"/>
    <xf numFmtId="0" fontId="4" fillId="0" borderId="1" pivotButton="0" quotePrefix="0" xfId="0"/>
    <xf numFmtId="0" fontId="6" fillId="0" borderId="0" pivotButton="0" quotePrefix="0" xfId="0"/>
    <xf numFmtId="0" fontId="7" fillId="0" borderId="0" pivotButton="0" quotePrefix="0" xfId="0"/>
    <xf numFmtId="0" fontId="4" fillId="3" borderId="1" applyAlignment="1" pivotButton="0" quotePrefix="0" xfId="0">
      <alignment horizontal="left"/>
    </xf>
    <xf numFmtId="0" fontId="5" fillId="0" borderId="1" pivotButton="0" quotePrefix="0" xfId="0"/>
    <xf numFmtId="0" fontId="4" fillId="0" borderId="1" applyAlignment="1" pivotButton="0" quotePrefix="0" xfId="0">
      <alignment horizontal="left"/>
    </xf>
    <xf numFmtId="2" fontId="4" fillId="0" borderId="1" applyAlignment="1" pivotButton="0" quotePrefix="0" xfId="0">
      <alignment horizontal="right"/>
    </xf>
    <xf numFmtId="0" fontId="4" fillId="4" borderId="1" applyAlignment="1" pivotButton="0" quotePrefix="0" xfId="0">
      <alignment horizontal="left"/>
    </xf>
    <xf numFmtId="0" fontId="4" fillId="4" borderId="1" applyAlignment="1" pivotButton="0" quotePrefix="0" xfId="0">
      <alignment horizontal="right"/>
    </xf>
    <xf numFmtId="4" fontId="4" fillId="0" borderId="1" applyAlignment="1" pivotButton="0" quotePrefix="0" xfId="0">
      <alignment horizontal="right"/>
    </xf>
    <xf numFmtId="0" fontId="4" fillId="5" borderId="1" pivotButton="0" quotePrefix="0" xfId="0"/>
    <xf numFmtId="4" fontId="4" fillId="5" borderId="1" applyAlignment="1" pivotButton="0" quotePrefix="0" xfId="0">
      <alignment horizontal="right"/>
    </xf>
    <xf numFmtId="4" fontId="5" fillId="0" borderId="1" applyAlignment="1" pivotButton="0" quotePrefix="0" xfId="0">
      <alignment horizontal="right"/>
    </xf>
    <xf numFmtId="0" fontId="9" fillId="6" borderId="1" pivotButton="0" quotePrefix="0" xfId="0"/>
    <xf numFmtId="164" fontId="9" fillId="6" borderId="1" applyAlignment="1" pivotButton="0" quotePrefix="0" xfId="0">
      <alignment horizontal="right"/>
    </xf>
    <xf numFmtId="0" fontId="8" fillId="3" borderId="1" applyAlignment="1" pivotButton="0" quotePrefix="0" xfId="0">
      <alignment horizontal="left"/>
    </xf>
    <xf numFmtId="0" fontId="8" fillId="7" borderId="1" applyAlignment="1" pivotButton="0" quotePrefix="0" xfId="0">
      <alignment horizontal="center"/>
    </xf>
    <xf numFmtId="0" fontId="8" fillId="4" borderId="1" applyAlignment="1" pivotButton="0" quotePrefix="0" xfId="0">
      <alignment horizontal="center" wrapText="1"/>
    </xf>
    <xf numFmtId="0" fontId="5" fillId="0" borderId="1" applyAlignment="1" pivotButton="0" quotePrefix="0" xfId="0">
      <alignment horizontal="center"/>
    </xf>
    <xf numFmtId="0" fontId="6" fillId="0" borderId="1" pivotButton="0" quotePrefix="0" xfId="0"/>
    <xf numFmtId="0" fontId="4" fillId="0" borderId="1" applyAlignment="1" pivotButton="0" quotePrefix="0" xfId="0">
      <alignment horizontal="center"/>
    </xf>
    <xf numFmtId="1" fontId="4" fillId="0" borderId="1" applyAlignment="1" pivotButton="0" quotePrefix="0" xfId="0">
      <alignment horizontal="center"/>
    </xf>
    <xf numFmtId="2" fontId="5" fillId="0" borderId="1" applyAlignment="1" pivotButton="0" quotePrefix="0" xfId="0">
      <alignment horizontal="center"/>
    </xf>
    <xf numFmtId="1" fontId="5" fillId="0" borderId="1" applyAlignment="1" pivotButton="0" quotePrefix="0" xfId="0">
      <alignment horizontal="center"/>
    </xf>
    <xf numFmtId="1" fontId="4" fillId="5" borderId="1" applyAlignment="1" pivotButton="0" quotePrefix="0" xfId="0">
      <alignment horizontal="center"/>
    </xf>
    <xf numFmtId="2" fontId="5" fillId="5" borderId="1" applyAlignment="1" pivotButton="0" quotePrefix="0" xfId="0">
      <alignment horizontal="center"/>
    </xf>
    <xf numFmtId="1" fontId="5" fillId="5" borderId="1" applyAlignment="1" pivotButton="0" quotePrefix="0" xfId="0">
      <alignment horizontal="center"/>
    </xf>
    <xf numFmtId="0" fontId="10" fillId="0" borderId="0" pivotButton="0" quotePrefix="0" xfId="0"/>
    <xf numFmtId="0" fontId="8" fillId="3" borderId="1" applyAlignment="1" pivotButton="0" quotePrefix="0" xfId="0">
      <alignment horizontal="left" wrapText="1"/>
    </xf>
    <xf numFmtId="0" fontId="8" fillId="3" borderId="1" applyAlignment="1" pivotButton="0" quotePrefix="0" xfId="0">
      <alignment horizontal="right" wrapText="1"/>
    </xf>
    <xf numFmtId="0" fontId="8" fillId="4" borderId="1" applyAlignment="1" pivotButton="0" quotePrefix="0" xfId="0">
      <alignment horizontal="right" wrapText="1"/>
    </xf>
    <xf numFmtId="0" fontId="6" fillId="0" borderId="1" applyAlignment="1" pivotButton="0" quotePrefix="0" xfId="0">
      <alignment horizontal="center"/>
    </xf>
    <xf numFmtId="2" fontId="4" fillId="6" borderId="1" applyAlignment="1" pivotButton="0" quotePrefix="0" xfId="0">
      <alignment horizontal="right"/>
    </xf>
    <xf numFmtId="1" fontId="4" fillId="6" borderId="1" applyAlignment="1" pivotButton="0" quotePrefix="0" xfId="0">
      <alignment horizontal="right"/>
    </xf>
    <xf numFmtId="4" fontId="4" fillId="6" borderId="1" applyAlignment="1" pivotButton="0" quotePrefix="0" xfId="0">
      <alignment horizontal="right"/>
    </xf>
    <xf numFmtId="4" fontId="5" fillId="6" borderId="1" applyAlignment="1" pivotButton="0" quotePrefix="0" xfId="0">
      <alignment horizontal="right"/>
    </xf>
    <xf numFmtId="0" fontId="5" fillId="5" borderId="1" applyAlignment="1" pivotButton="0" quotePrefix="0" xfId="0">
      <alignment horizontal="center"/>
    </xf>
    <xf numFmtId="0" fontId="4" fillId="5" borderId="1" applyAlignment="1" pivotButton="0" quotePrefix="0" xfId="0">
      <alignment horizontal="center"/>
    </xf>
    <xf numFmtId="0" fontId="6" fillId="5" borderId="1" applyAlignment="1" pivotButton="0" quotePrefix="0" xfId="0">
      <alignment horizontal="center"/>
    </xf>
    <xf numFmtId="0" fontId="5" fillId="0" borderId="2" pivotButton="0" quotePrefix="0" xfId="0"/>
    <xf numFmtId="4" fontId="5" fillId="0" borderId="2" applyAlignment="1" pivotButton="0" quotePrefix="0" xfId="0">
      <alignment horizontal="right"/>
    </xf>
    <xf numFmtId="2" fontId="5" fillId="0" borderId="2" applyAlignment="1" pivotButton="0" quotePrefix="0" xfId="0">
      <alignment horizontal="right"/>
    </xf>
    <xf numFmtId="1" fontId="5" fillId="0" borderId="2" applyAlignment="1" pivotButton="0" quotePrefix="0" xfId="0">
      <alignment horizontal="right"/>
    </xf>
    <xf numFmtId="0" fontId="8" fillId="3" borderId="1" applyAlignment="1" pivotButton="0" quotePrefix="0" xfId="0">
      <alignment horizontal="right"/>
    </xf>
    <xf numFmtId="0" fontId="8" fillId="4" borderId="1" applyAlignment="1" pivotButton="0" quotePrefix="0" xfId="0">
      <alignment horizontal="left"/>
    </xf>
    <xf numFmtId="0" fontId="4" fillId="6"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0"/>
  <sheetViews>
    <sheetView showGridLines="1" workbookViewId="0">
      <selection activeCell="A1" sqref="A1"/>
    </sheetView>
  </sheetViews>
  <sheetFormatPr baseColWidth="8" defaultRowHeight="15"/>
  <cols>
    <col width="25" customWidth="1" min="1" max="1"/>
    <col width="50" customWidth="1" min="2" max="2"/>
    <col width="50" customWidth="1" min="3" max="3"/>
  </cols>
  <sheetData>
    <row r="1">
      <c r="A1" s="1" t="inlineStr">
        <is>
          <t>eDining Manual Billing System</t>
        </is>
      </c>
    </row>
    <row r="2">
      <c r="A2" s="2" t="inlineStr">
        <is>
          <t>Complete Spreadsheet Template for Muktijoddha Hall - June 2026</t>
        </is>
      </c>
    </row>
    <row r="4">
      <c r="A4" s="3" t="inlineStr">
        <is>
          <t>Overview</t>
        </is>
      </c>
    </row>
    <row r="5">
      <c r="A5" s="4" t="inlineStr">
        <is>
          <t>This spreadsheet allows dining managers to log deposits, bazaar expenses, and daily meal attendance manually. It uses Excel formulas to calculate home meal units, guest contributions, daily manager fees, and the dynamically settled meal rate. The calculations mirror the eDining web application.</t>
        </is>
      </c>
    </row>
    <row r="7">
      <c r="A7" s="3" t="inlineStr">
        <is>
          <t>Sheet Descriptions</t>
        </is>
      </c>
    </row>
    <row r="8">
      <c r="A8" s="5" t="inlineStr">
        <is>
          <t>Instructions</t>
        </is>
      </c>
      <c r="B8" s="4" t="inlineStr">
        <is>
          <t>This user guide and reference sheet.</t>
        </is>
      </c>
    </row>
    <row r="9">
      <c r="A9" s="5" t="inlineStr">
        <is>
          <t>Setup</t>
        </is>
      </c>
      <c r="B9" s="4" t="inlineStr">
        <is>
          <t>Contains constants: Guest rates, Daily manager fees, Lunch/Dinner weights.</t>
        </is>
      </c>
    </row>
    <row r="10">
      <c r="A10" s="5" t="inlineStr">
        <is>
          <t>Dashboard</t>
        </is>
      </c>
      <c r="B10" s="4" t="inlineStr">
        <is>
          <t>Summarizes total system financial health, including calculated meal rates and totals.</t>
        </is>
      </c>
    </row>
    <row r="11">
      <c r="A11" s="5" t="inlineStr">
        <is>
          <t>Members &amp; Balances</t>
        </is>
      </c>
      <c r="B11" s="4" t="inlineStr">
        <is>
          <t>The central ledger. Computes every member's balance, billing, and settlements using formulas.</t>
        </is>
      </c>
    </row>
    <row r="12">
      <c r="A12" s="5" t="inlineStr">
        <is>
          <t>Expenses</t>
        </is>
      </c>
      <c r="B12" s="4" t="inlineStr">
        <is>
          <t>Log daily bazaar expenses here. Column E accumulates into the total expense.</t>
        </is>
      </c>
    </row>
    <row r="13">
      <c r="A13" s="5" t="inlineStr">
        <is>
          <t>Deposits</t>
        </is>
      </c>
      <c r="B13" s="4" t="inlineStr">
        <is>
          <t>Log student payments (Cash or bKash) here. Automatically links to the member list.</t>
        </is>
      </c>
    </row>
    <row r="14">
      <c r="A14" s="5" t="inlineStr">
        <is>
          <t>Meals Grid</t>
        </is>
      </c>
      <c r="B14" s="4" t="inlineStr">
        <is>
          <t>Record student meals for each day. Use standard codes (B, L, D, GB, GL, GD) to mark attendance.</t>
        </is>
      </c>
    </row>
    <row r="16">
      <c r="A16" s="3" t="inlineStr">
        <is>
          <t>Meal Codes for Meals Grid</t>
        </is>
      </c>
    </row>
    <row r="18">
      <c r="A18" s="6" t="inlineStr">
        <is>
          <t>Code</t>
        </is>
      </c>
      <c r="B18" s="6" t="inlineStr">
        <is>
          <t>Meal Type</t>
        </is>
      </c>
      <c r="C18" s="6" t="inlineStr">
        <is>
          <t>Calculation Rule</t>
        </is>
      </c>
    </row>
    <row r="19">
      <c r="A19" s="7" t="inlineStr">
        <is>
          <t>B</t>
        </is>
      </c>
      <c r="B19" s="7" t="inlineStr">
        <is>
          <t>Home Student Both Meals</t>
        </is>
      </c>
      <c r="C19" s="7" t="inlineStr">
        <is>
          <t>Counts as 1.0 Meal Unit. Subject to manager charges.</t>
        </is>
      </c>
    </row>
    <row r="20">
      <c r="A20" s="7" t="inlineStr">
        <is>
          <t>L</t>
        </is>
      </c>
      <c r="B20" s="7" t="inlineStr">
        <is>
          <t>Home Student Lunch Only</t>
        </is>
      </c>
      <c r="C20" s="7" t="inlineStr">
        <is>
          <t>Counts as Lunch Weight (default 0.50). Subject to manager charges.</t>
        </is>
      </c>
    </row>
    <row r="21">
      <c r="A21" s="7" t="inlineStr">
        <is>
          <t>D</t>
        </is>
      </c>
      <c r="B21" s="7" t="inlineStr">
        <is>
          <t>Home Student Dinner Only</t>
        </is>
      </c>
      <c r="C21" s="7" t="inlineStr">
        <is>
          <t>Counts as Dinner Weight (default 0.50). Subject to manager charges.</t>
        </is>
      </c>
    </row>
    <row r="22">
      <c r="A22" s="7" t="inlineStr">
        <is>
          <t>GB</t>
        </is>
      </c>
      <c r="B22" s="7" t="inlineStr">
        <is>
          <t>Guest Both Meals</t>
        </is>
      </c>
      <c r="C22" s="7" t="inlineStr">
        <is>
          <t>Charged at flat Guest Meal Rate. No manager fee.</t>
        </is>
      </c>
    </row>
    <row r="23">
      <c r="A23" s="7" t="inlineStr">
        <is>
          <t>GL</t>
        </is>
      </c>
      <c r="B23" s="7" t="inlineStr">
        <is>
          <t>Guest Lunch Only</t>
        </is>
      </c>
      <c r="C23" s="7" t="inlineStr">
        <is>
          <t>Charged at Guest Rate * Lunch Weight. No manager fee.</t>
        </is>
      </c>
    </row>
    <row r="24">
      <c r="A24" s="7" t="inlineStr">
        <is>
          <t>GD</t>
        </is>
      </c>
      <c r="B24" s="7" t="inlineStr">
        <is>
          <t>Guest Dinner Only</t>
        </is>
      </c>
      <c r="C24" s="7" t="inlineStr">
        <is>
          <t>Charged at Guest Rate * Dinner Weight. No manager fee.</t>
        </is>
      </c>
    </row>
    <row r="25">
      <c r="A25" s="7" t="inlineStr">
        <is>
          <t>O / Blank</t>
        </is>
      </c>
      <c r="B25" s="7" t="inlineStr">
        <is>
          <t>No Meals (Off)</t>
        </is>
      </c>
      <c r="C25" s="7" t="inlineStr">
        <is>
          <t>No meal units, no charges, no manager fees.</t>
        </is>
      </c>
    </row>
    <row r="27">
      <c r="A27" s="5" t="inlineStr">
        <is>
          <t>Important Notes:</t>
        </is>
      </c>
    </row>
    <row r="28">
      <c r="A28" s="8" t="inlineStr">
        <is>
          <t>1. Do NOT modify columns in 'Members &amp; Balances' containing formulas. These columns have headers styled differently.</t>
        </is>
      </c>
    </row>
    <row r="29">
      <c r="A29" s="8" t="inlineStr">
        <is>
          <t>2. When adding a new student, insert them in both 'Members &amp; Balances' and 'Meals Grid' with matching Member IDs.</t>
        </is>
      </c>
    </row>
    <row r="30">
      <c r="A30" s="8" t="inlineStr">
        <is>
          <t>3. Ensure the active month dates in 'Meals Grid' correspond to the number of days in the billing month.</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
  <sheetViews>
    <sheetView showGridLines="1" workbookViewId="0">
      <selection activeCell="A1" sqref="A1"/>
    </sheetView>
  </sheetViews>
  <sheetFormatPr baseColWidth="8" defaultRowHeight="15"/>
  <cols>
    <col width="40" customWidth="1" min="1" max="1"/>
    <col width="19" customWidth="1" min="2" max="2"/>
  </cols>
  <sheetData>
    <row r="1">
      <c r="A1" s="9" t="inlineStr">
        <is>
          <t>eDining System Configurations</t>
        </is>
      </c>
    </row>
    <row r="2">
      <c r="A2" s="2" t="inlineStr">
        <is>
          <t>Variables defined here are referenced throughout the sheets.</t>
        </is>
      </c>
    </row>
    <row r="3"/>
    <row r="4">
      <c r="A4" s="10" t="inlineStr">
        <is>
          <t>Parameter</t>
        </is>
      </c>
      <c r="B4" s="10" t="inlineStr">
        <is>
          <t>Value</t>
        </is>
      </c>
    </row>
    <row r="5">
      <c r="A5" s="11" t="inlineStr">
        <is>
          <t>Hall Name</t>
        </is>
      </c>
      <c r="B5" s="12" t="inlineStr">
        <is>
          <t>Muktijoddha Hall</t>
        </is>
      </c>
    </row>
    <row r="6">
      <c r="A6" s="11" t="inlineStr">
        <is>
          <t>Billing Month</t>
        </is>
      </c>
      <c r="B6" s="12" t="inlineStr">
        <is>
          <t>2026-06</t>
        </is>
      </c>
    </row>
    <row r="7">
      <c r="A7" s="11" t="inlineStr">
        <is>
          <t>Guest Meal Rate (BDT)</t>
        </is>
      </c>
      <c r="B7" s="13" t="n">
        <v>120</v>
      </c>
    </row>
    <row r="8">
      <c r="A8" s="11" t="inlineStr">
        <is>
          <t>Manager Daily Fee (BDT)</t>
        </is>
      </c>
      <c r="B8" s="13" t="n">
        <v>5</v>
      </c>
    </row>
    <row r="9">
      <c r="A9" s="11" t="inlineStr">
        <is>
          <t>Lunch Weight Percentage</t>
        </is>
      </c>
      <c r="B9" s="13" t="n">
        <v>0.5</v>
      </c>
    </row>
    <row r="10">
      <c r="A10" s="11" t="inlineStr">
        <is>
          <t>Dinner Weight Percentage</t>
        </is>
      </c>
      <c r="B10" s="13" t="n">
        <v>0.5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2"/>
  <sheetViews>
    <sheetView showGridLines="1" workbookViewId="0">
      <selection activeCell="A1" sqref="A1"/>
    </sheetView>
  </sheetViews>
  <sheetFormatPr baseColWidth="8" defaultRowHeight="15"/>
  <cols>
    <col width="3" customWidth="1" min="1" max="1"/>
    <col width="35" customWidth="1" min="2" max="2"/>
    <col width="25" customWidth="1" min="3" max="3"/>
  </cols>
  <sheetData>
    <row r="1"/>
    <row r="2">
      <c r="B2" s="9" t="inlineStr">
        <is>
          <t>eDining Monthly Summary Dashboard</t>
        </is>
      </c>
    </row>
    <row r="3">
      <c r="B3" s="2" t="inlineStr">
        <is>
          <t>Active System Statistics for Muktijoddha Hall - June 2026</t>
        </is>
      </c>
    </row>
    <row r="4">
      <c r="B4" s="14" t="inlineStr">
        <is>
          <t>Financial Metric</t>
        </is>
      </c>
      <c r="C4" s="15" t="inlineStr">
        <is>
          <t>Value (Calculated by Formulas)</t>
        </is>
      </c>
    </row>
    <row r="5">
      <c r="B5" s="7" t="inlineStr">
        <is>
          <t>Total System Expenses</t>
        </is>
      </c>
      <c r="C5" s="16">
        <f>SUM(Expenses!$E$7:$E$1000)</f>
        <v/>
      </c>
    </row>
    <row r="6">
      <c r="B6" s="17" t="inlineStr">
        <is>
          <t>Total Guest Contributions</t>
        </is>
      </c>
      <c r="C6" s="18">
        <f>SUM('Members &amp; Balances'!$J$10:$J$1000)</f>
        <v/>
      </c>
    </row>
    <row r="7">
      <c r="B7" s="11" t="inlineStr">
        <is>
          <t>Net System Expenses</t>
        </is>
      </c>
      <c r="C7" s="19">
        <f>MAX(0, C5-C6)</f>
        <v/>
      </c>
    </row>
    <row r="8">
      <c r="B8" s="17" t="inlineStr">
        <is>
          <t>Total Home Meal Units</t>
        </is>
      </c>
      <c r="C8" s="18">
        <f>SUM('Members &amp; Balances'!$H$10:$H$1000)</f>
        <v/>
      </c>
    </row>
    <row r="9">
      <c r="B9" s="20" t="inlineStr">
        <is>
          <t>Calculated Meal Rate</t>
        </is>
      </c>
      <c r="C9" s="21">
        <f>IF(C8&gt;0, C7/C8, 0)</f>
        <v/>
      </c>
    </row>
    <row r="10">
      <c r="B10" s="17" t="inlineStr">
        <is>
          <t>Total Manager Fees Collected</t>
        </is>
      </c>
      <c r="C10" s="18">
        <f>SUM('Members &amp; Balances'!$K$10:$K$1000)</f>
        <v/>
      </c>
    </row>
    <row r="11">
      <c r="B11" s="7" t="inlineStr">
        <is>
          <t>Total Deposits Received</t>
        </is>
      </c>
      <c r="C11" s="16">
        <f>SUM(Deposits!$D$7:$D$1000)</f>
        <v/>
      </c>
    </row>
    <row r="12">
      <c r="B12" s="17" t="inlineStr">
        <is>
          <t>Outstanding Settlement Adjustments</t>
        </is>
      </c>
      <c r="C12" s="18">
        <f>SUM('Members &amp; Balances'!$O$10:$O$1000)-SUM('Members &amp; Balances'!$G$10:$G$1000)</f>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P12"/>
  <sheetViews>
    <sheetView showGridLines="1" workbookViewId="0">
      <selection activeCell="A1" sqref="A1"/>
    </sheetView>
  </sheetViews>
  <sheetFormatPr baseColWidth="8" defaultRowHeight="15"/>
  <cols>
    <col width="12" customWidth="1" min="1" max="1"/>
    <col width="25" customWidth="1" min="2" max="2"/>
    <col width="12" customWidth="1" min="3" max="3"/>
    <col width="4" customWidth="1" min="4" max="4"/>
    <col width="4" customWidth="1" min="5" max="5"/>
    <col width="4" customWidth="1" min="6" max="6"/>
    <col width="4" customWidth="1" min="7" max="7"/>
    <col width="4" customWidth="1" min="8" max="8"/>
    <col width="4" customWidth="1" min="9" max="9"/>
    <col width="4" customWidth="1" min="10" max="10"/>
    <col width="4" customWidth="1" min="11" max="11"/>
    <col width="4" customWidth="1" min="12" max="12"/>
    <col width="4" customWidth="1" min="13" max="13"/>
    <col width="4" customWidth="1" min="14" max="14"/>
    <col width="4" customWidth="1" min="15" max="15"/>
    <col width="4" customWidth="1" min="16" max="16"/>
    <col width="4" customWidth="1" min="17" max="17"/>
    <col width="4" customWidth="1" min="18" max="18"/>
    <col width="4" customWidth="1" min="19" max="19"/>
    <col width="4" customWidth="1" min="20" max="20"/>
    <col width="4" customWidth="1" min="21" max="21"/>
    <col width="4" customWidth="1" min="22" max="22"/>
    <col width="4" customWidth="1" min="23" max="23"/>
    <col width="4" customWidth="1" min="24" max="24"/>
    <col width="4" customWidth="1" min="25" max="25"/>
    <col width="4" customWidth="1" min="26" max="26"/>
    <col width="4" customWidth="1" min="27" max="27"/>
    <col width="4" customWidth="1" min="28" max="28"/>
    <col width="4" customWidth="1" min="29" max="29"/>
    <col width="4" customWidth="1" min="30" max="30"/>
    <col width="4" customWidth="1" min="31" max="31"/>
    <col width="4" customWidth="1" min="32" max="32"/>
    <col width="4" customWidth="1" min="33" max="33"/>
    <col width="12" customWidth="1" min="34" max="34"/>
    <col width="12" customWidth="1" min="35" max="35"/>
    <col width="12" customWidth="1" min="36" max="36"/>
    <col width="12" customWidth="1" min="37" max="37"/>
    <col width="12" customWidth="1" min="38" max="38"/>
    <col width="12" customWidth="1" min="39" max="39"/>
    <col width="12" customWidth="1" min="40" max="40"/>
    <col width="12" customWidth="1" min="41" max="41"/>
    <col width="12" customWidth="1" min="42" max="42"/>
  </cols>
  <sheetData>
    <row r="1">
      <c r="A1" s="9" t="inlineStr">
        <is>
          <t>Daily Meal Attendance Grid</t>
        </is>
      </c>
    </row>
    <row r="2">
      <c r="A2" s="2" t="inlineStr">
        <is>
          <t>Mark meals for June 2026. Codes: B (Both), L (Lunch), D (Dinner), GB (Guest Both), GL (Guest Lunch), GD (Guest Dinner), O (Off)</t>
        </is>
      </c>
    </row>
    <row r="7">
      <c r="A7" s="22" t="inlineStr">
        <is>
          <t>Member ID</t>
        </is>
      </c>
      <c r="B7" s="22" t="inlineStr">
        <is>
          <t>Name</t>
        </is>
      </c>
      <c r="C7" s="22" t="inlineStr">
        <is>
          <t>Role</t>
        </is>
      </c>
      <c r="D7" s="23" t="inlineStr">
        <is>
          <t>1</t>
        </is>
      </c>
      <c r="E7" s="23" t="inlineStr">
        <is>
          <t>2</t>
        </is>
      </c>
      <c r="F7" s="23" t="inlineStr">
        <is>
          <t>3</t>
        </is>
      </c>
      <c r="G7" s="23" t="inlineStr">
        <is>
          <t>4</t>
        </is>
      </c>
      <c r="H7" s="23" t="inlineStr">
        <is>
          <t>5</t>
        </is>
      </c>
      <c r="I7" s="23" t="inlineStr">
        <is>
          <t>6</t>
        </is>
      </c>
      <c r="J7" s="23" t="inlineStr">
        <is>
          <t>7</t>
        </is>
      </c>
      <c r="K7" s="23" t="inlineStr">
        <is>
          <t>8</t>
        </is>
      </c>
      <c r="L7" s="23" t="inlineStr">
        <is>
          <t>9</t>
        </is>
      </c>
      <c r="M7" s="23" t="inlineStr">
        <is>
          <t>10</t>
        </is>
      </c>
      <c r="N7" s="23" t="inlineStr">
        <is>
          <t>11</t>
        </is>
      </c>
      <c r="O7" s="23" t="inlineStr">
        <is>
          <t>12</t>
        </is>
      </c>
      <c r="P7" s="23" t="inlineStr">
        <is>
          <t>13</t>
        </is>
      </c>
      <c r="Q7" s="23" t="inlineStr">
        <is>
          <t>14</t>
        </is>
      </c>
      <c r="R7" s="23" t="inlineStr">
        <is>
          <t>15</t>
        </is>
      </c>
      <c r="S7" s="23" t="inlineStr">
        <is>
          <t>16</t>
        </is>
      </c>
      <c r="T7" s="23" t="inlineStr">
        <is>
          <t>17</t>
        </is>
      </c>
      <c r="U7" s="23" t="inlineStr">
        <is>
          <t>18</t>
        </is>
      </c>
      <c r="V7" s="23" t="inlineStr">
        <is>
          <t>19</t>
        </is>
      </c>
      <c r="W7" s="23" t="inlineStr">
        <is>
          <t>20</t>
        </is>
      </c>
      <c r="X7" s="23" t="inlineStr">
        <is>
          <t>21</t>
        </is>
      </c>
      <c r="Y7" s="23" t="inlineStr">
        <is>
          <t>22</t>
        </is>
      </c>
      <c r="Z7" s="23" t="inlineStr">
        <is>
          <t>23</t>
        </is>
      </c>
      <c r="AA7" s="23" t="inlineStr">
        <is>
          <t>24</t>
        </is>
      </c>
      <c r="AB7" s="23" t="inlineStr">
        <is>
          <t>25</t>
        </is>
      </c>
      <c r="AC7" s="23" t="inlineStr">
        <is>
          <t>26</t>
        </is>
      </c>
      <c r="AD7" s="23" t="inlineStr">
        <is>
          <t>27</t>
        </is>
      </c>
      <c r="AE7" s="23" t="inlineStr">
        <is>
          <t>28</t>
        </is>
      </c>
      <c r="AF7" s="23" t="inlineStr">
        <is>
          <t>29</t>
        </is>
      </c>
      <c r="AG7" s="23" t="inlineStr">
        <is>
          <t>30</t>
        </is>
      </c>
      <c r="AH7" s="24" t="inlineStr">
        <is>
          <t>Lunch (L)</t>
        </is>
      </c>
      <c r="AI7" s="24" t="inlineStr">
        <is>
          <t>Dinner (D)</t>
        </is>
      </c>
      <c r="AJ7" s="24" t="inlineStr">
        <is>
          <t>Both (B)</t>
        </is>
      </c>
      <c r="AK7" s="24" t="inlineStr">
        <is>
          <t>Guest Lunch (GL)</t>
        </is>
      </c>
      <c r="AL7" s="24" t="inlineStr">
        <is>
          <t>Guest Dinner (GD)</t>
        </is>
      </c>
      <c r="AM7" s="24" t="inlineStr">
        <is>
          <t>Guest Both (GB)</t>
        </is>
      </c>
      <c r="AN7" s="24" t="inlineStr">
        <is>
          <t>Home Meal Units</t>
        </is>
      </c>
      <c r="AO7" s="24" t="inlineStr">
        <is>
          <t>Active Days</t>
        </is>
      </c>
      <c r="AP7" s="24" t="inlineStr">
        <is>
          <t>Guest Meal Units</t>
        </is>
      </c>
    </row>
    <row r="8">
      <c r="A8" s="25" t="n">
        <v>1</v>
      </c>
      <c r="B8" s="7" t="inlineStr">
        <is>
          <t>System Super Admin</t>
        </is>
      </c>
      <c r="C8" s="26" t="inlineStr">
        <is>
          <t>superadmin</t>
        </is>
      </c>
      <c r="D8" s="27" t="inlineStr"/>
      <c r="E8" s="27" t="inlineStr"/>
      <c r="F8" s="27" t="inlineStr"/>
      <c r="G8" s="27" t="inlineStr"/>
      <c r="H8" s="27" t="inlineStr"/>
      <c r="I8" s="27" t="inlineStr"/>
      <c r="J8" s="27" t="inlineStr"/>
      <c r="K8" s="27" t="inlineStr"/>
      <c r="L8" s="27" t="inlineStr"/>
      <c r="M8" s="27" t="inlineStr"/>
      <c r="N8" s="27" t="inlineStr"/>
      <c r="O8" s="27" t="inlineStr"/>
      <c r="P8" s="27" t="inlineStr"/>
      <c r="Q8" s="27" t="inlineStr"/>
      <c r="R8" s="27" t="inlineStr"/>
      <c r="S8" s="27" t="inlineStr"/>
      <c r="T8" s="27" t="inlineStr"/>
      <c r="U8" s="27" t="inlineStr"/>
      <c r="V8" s="27" t="inlineStr"/>
      <c r="W8" s="27" t="inlineStr"/>
      <c r="X8" s="27" t="inlineStr"/>
      <c r="Y8" s="27" t="inlineStr"/>
      <c r="Z8" s="27" t="inlineStr"/>
      <c r="AA8" s="27" t="inlineStr"/>
      <c r="AB8" s="27" t="inlineStr"/>
      <c r="AC8" s="27" t="inlineStr"/>
      <c r="AD8" s="27" t="inlineStr"/>
      <c r="AE8" s="27" t="inlineStr"/>
      <c r="AF8" s="27" t="inlineStr"/>
      <c r="AG8" s="27" t="inlineStr"/>
      <c r="AH8" s="28">
        <f>COUNTIF(D8:AG8, "L")</f>
        <v/>
      </c>
      <c r="AI8" s="28">
        <f>COUNTIF(D8:AG8, "D")</f>
        <v/>
      </c>
      <c r="AJ8" s="28">
        <f>COUNTIF(D8:AG8, "B")</f>
        <v/>
      </c>
      <c r="AK8" s="28">
        <f>COUNTIF(D8:AG8, "GL")</f>
        <v/>
      </c>
      <c r="AL8" s="28">
        <f>COUNTIF(D8:AG8, "GD")</f>
        <v/>
      </c>
      <c r="AM8" s="28">
        <f>COUNTIF(D8:AG8, "GB")</f>
        <v/>
      </c>
      <c r="AN8" s="29">
        <f>AJ8+(AH8*Setup!$B$8)+(AI8*Setup!$B$9)</f>
        <v/>
      </c>
      <c r="AO8" s="30">
        <f>COUNTIF(D8:AG8, "L")+COUNTIF(D8:AG8, "D")+COUNTIF(D8:AG8, "B")</f>
        <v/>
      </c>
      <c r="AP8" s="29">
        <f>AM8+(AK8*Setup!$B$8)+(AL8*Setup!$B$9)</f>
        <v/>
      </c>
    </row>
    <row r="9">
      <c r="A9" s="25" t="n">
        <v>4</v>
      </c>
      <c r="B9" s="7" t="inlineStr">
        <is>
          <t>Kamrul Islam</t>
        </is>
      </c>
      <c r="C9" s="26" t="inlineStr">
        <is>
          <t>student</t>
        </is>
      </c>
      <c r="D9" s="27" t="inlineStr"/>
      <c r="E9" s="27" t="inlineStr"/>
      <c r="F9" s="27" t="inlineStr"/>
      <c r="G9" s="27" t="inlineStr"/>
      <c r="H9" s="27" t="inlineStr"/>
      <c r="I9" s="27" t="inlineStr"/>
      <c r="J9" s="27" t="inlineStr"/>
      <c r="K9" s="27" t="inlineStr"/>
      <c r="L9" s="27" t="inlineStr"/>
      <c r="M9" s="27" t="inlineStr"/>
      <c r="N9" s="27" t="inlineStr"/>
      <c r="O9" s="27" t="inlineStr"/>
      <c r="P9" s="27" t="inlineStr"/>
      <c r="Q9" s="27" t="inlineStr"/>
      <c r="R9" s="27" t="inlineStr"/>
      <c r="S9" s="27" t="inlineStr">
        <is>
          <t>B</t>
        </is>
      </c>
      <c r="T9" s="27" t="inlineStr">
        <is>
          <t>B</t>
        </is>
      </c>
      <c r="U9" s="27" t="inlineStr">
        <is>
          <t>B</t>
        </is>
      </c>
      <c r="V9" s="27" t="inlineStr">
        <is>
          <t>B</t>
        </is>
      </c>
      <c r="W9" s="27" t="inlineStr">
        <is>
          <t>B</t>
        </is>
      </c>
      <c r="X9" s="27" t="inlineStr">
        <is>
          <t>B</t>
        </is>
      </c>
      <c r="Y9" s="27" t="inlineStr">
        <is>
          <t>B</t>
        </is>
      </c>
      <c r="Z9" s="27" t="inlineStr">
        <is>
          <t>B</t>
        </is>
      </c>
      <c r="AA9" s="27" t="inlineStr">
        <is>
          <t>B</t>
        </is>
      </c>
      <c r="AB9" s="27" t="inlineStr">
        <is>
          <t>B</t>
        </is>
      </c>
      <c r="AC9" s="27" t="inlineStr">
        <is>
          <t>B</t>
        </is>
      </c>
      <c r="AD9" s="27" t="inlineStr">
        <is>
          <t>B</t>
        </is>
      </c>
      <c r="AE9" s="27" t="inlineStr">
        <is>
          <t>B</t>
        </is>
      </c>
      <c r="AF9" s="27" t="inlineStr">
        <is>
          <t>B</t>
        </is>
      </c>
      <c r="AG9" s="27" t="inlineStr">
        <is>
          <t>B</t>
        </is>
      </c>
      <c r="AH9" s="31">
        <f>COUNTIF(D9:AG9, "L")</f>
        <v/>
      </c>
      <c r="AI9" s="31">
        <f>COUNTIF(D9:AG9, "D")</f>
        <v/>
      </c>
      <c r="AJ9" s="31">
        <f>COUNTIF(D9:AG9, "B")</f>
        <v/>
      </c>
      <c r="AK9" s="31">
        <f>COUNTIF(D9:AG9, "GL")</f>
        <v/>
      </c>
      <c r="AL9" s="31">
        <f>COUNTIF(D9:AG9, "GD")</f>
        <v/>
      </c>
      <c r="AM9" s="31">
        <f>COUNTIF(D9:AG9, "GB")</f>
        <v/>
      </c>
      <c r="AN9" s="32">
        <f>AJ9+(AH9*Setup!$B$8)+(AI9*Setup!$B$9)</f>
        <v/>
      </c>
      <c r="AO9" s="33">
        <f>COUNTIF(D9:AG9, "L")+COUNTIF(D9:AG9, "D")+COUNTIF(D9:AG9, "B")</f>
        <v/>
      </c>
      <c r="AP9" s="32">
        <f>AM9+(AK9*Setup!$B$8)+(AL9*Setup!$B$9)</f>
        <v/>
      </c>
    </row>
    <row r="10">
      <c r="A10" s="25" t="n">
        <v>5</v>
      </c>
      <c r="B10" s="7" t="inlineStr">
        <is>
          <t>Rakib Hasan</t>
        </is>
      </c>
      <c r="C10" s="26" t="inlineStr">
        <is>
          <t>student</t>
        </is>
      </c>
      <c r="D10" s="27" t="inlineStr"/>
      <c r="E10" s="27" t="inlineStr"/>
      <c r="F10" s="27" t="inlineStr"/>
      <c r="G10" s="27" t="inlineStr"/>
      <c r="H10" s="27" t="inlineStr"/>
      <c r="I10" s="27" t="inlineStr"/>
      <c r="J10" s="27" t="inlineStr"/>
      <c r="K10" s="27" t="inlineStr"/>
      <c r="L10" s="27" t="inlineStr"/>
      <c r="M10" s="27" t="inlineStr"/>
      <c r="N10" s="27" t="inlineStr"/>
      <c r="O10" s="27" t="inlineStr"/>
      <c r="P10" s="27" t="inlineStr"/>
      <c r="Q10" s="27" t="inlineStr"/>
      <c r="R10" s="27" t="inlineStr"/>
      <c r="S10" s="27" t="inlineStr"/>
      <c r="T10" s="27" t="inlineStr"/>
      <c r="U10" s="27" t="inlineStr"/>
      <c r="V10" s="27" t="inlineStr"/>
      <c r="W10" s="27" t="inlineStr"/>
      <c r="X10" s="27" t="inlineStr"/>
      <c r="Y10" s="27" t="inlineStr"/>
      <c r="Z10" s="27" t="inlineStr"/>
      <c r="AA10" s="27" t="inlineStr"/>
      <c r="AB10" s="27" t="inlineStr"/>
      <c r="AC10" s="27" t="inlineStr"/>
      <c r="AD10" s="27" t="inlineStr"/>
      <c r="AE10" s="27" t="inlineStr"/>
      <c r="AF10" s="27" t="inlineStr"/>
      <c r="AG10" s="27" t="inlineStr"/>
      <c r="AH10" s="28">
        <f>COUNTIF(D10:AG10, "L")</f>
        <v/>
      </c>
      <c r="AI10" s="28">
        <f>COUNTIF(D10:AG10, "D")</f>
        <v/>
      </c>
      <c r="AJ10" s="28">
        <f>COUNTIF(D10:AG10, "B")</f>
        <v/>
      </c>
      <c r="AK10" s="28">
        <f>COUNTIF(D10:AG10, "GL")</f>
        <v/>
      </c>
      <c r="AL10" s="28">
        <f>COUNTIF(D10:AG10, "GD")</f>
        <v/>
      </c>
      <c r="AM10" s="28">
        <f>COUNTIF(D10:AG10, "GB")</f>
        <v/>
      </c>
      <c r="AN10" s="29">
        <f>AJ10+(AH10*Setup!$B$8)+(AI10*Setup!$B$9)</f>
        <v/>
      </c>
      <c r="AO10" s="30">
        <f>COUNTIF(D10:AG10, "L")+COUNTIF(D10:AG10, "D")+COUNTIF(D10:AG10, "B")</f>
        <v/>
      </c>
      <c r="AP10" s="29">
        <f>AM10+(AK10*Setup!$B$8)+(AL10*Setup!$B$9)</f>
        <v/>
      </c>
    </row>
    <row r="11">
      <c r="A11" s="25" t="n">
        <v>2</v>
      </c>
      <c r="B11" s="7" t="inlineStr">
        <is>
          <t>Sabbir Ahmed (Mukti Mgr)</t>
        </is>
      </c>
      <c r="C11" s="26" t="inlineStr">
        <is>
          <t>manager</t>
        </is>
      </c>
      <c r="D11" s="27" t="inlineStr"/>
      <c r="E11" s="27" t="inlineStr"/>
      <c r="F11" s="27" t="inlineStr"/>
      <c r="G11" s="27" t="inlineStr"/>
      <c r="H11" s="27" t="inlineStr"/>
      <c r="I11" s="27" t="inlineStr"/>
      <c r="J11" s="27" t="inlineStr"/>
      <c r="K11" s="27" t="inlineStr"/>
      <c r="L11" s="27" t="inlineStr"/>
      <c r="M11" s="27" t="inlineStr"/>
      <c r="N11" s="27" t="inlineStr"/>
      <c r="O11" s="27" t="inlineStr"/>
      <c r="P11" s="27" t="inlineStr"/>
      <c r="Q11" s="27" t="inlineStr"/>
      <c r="R11" s="27" t="inlineStr"/>
      <c r="S11" s="27" t="inlineStr">
        <is>
          <t>B</t>
        </is>
      </c>
      <c r="T11" s="27" t="inlineStr">
        <is>
          <t>B</t>
        </is>
      </c>
      <c r="U11" s="27" t="inlineStr">
        <is>
          <t>B</t>
        </is>
      </c>
      <c r="V11" s="27" t="inlineStr">
        <is>
          <t>B</t>
        </is>
      </c>
      <c r="W11" s="27" t="inlineStr">
        <is>
          <t>B</t>
        </is>
      </c>
      <c r="X11" s="27" t="inlineStr">
        <is>
          <t>B</t>
        </is>
      </c>
      <c r="Y11" s="27" t="inlineStr">
        <is>
          <t>B</t>
        </is>
      </c>
      <c r="Z11" s="27" t="inlineStr">
        <is>
          <t>B</t>
        </is>
      </c>
      <c r="AA11" s="27" t="inlineStr">
        <is>
          <t>B</t>
        </is>
      </c>
      <c r="AB11" s="27" t="inlineStr">
        <is>
          <t>B</t>
        </is>
      </c>
      <c r="AC11" s="27" t="inlineStr">
        <is>
          <t>B</t>
        </is>
      </c>
      <c r="AD11" s="27" t="inlineStr">
        <is>
          <t>B</t>
        </is>
      </c>
      <c r="AE11" s="27" t="inlineStr">
        <is>
          <t>B</t>
        </is>
      </c>
      <c r="AF11" s="27" t="inlineStr">
        <is>
          <t>B</t>
        </is>
      </c>
      <c r="AG11" s="27" t="inlineStr">
        <is>
          <t>B</t>
        </is>
      </c>
      <c r="AH11" s="31">
        <f>COUNTIF(D11:AG11, "L")</f>
        <v/>
      </c>
      <c r="AI11" s="31">
        <f>COUNTIF(D11:AG11, "D")</f>
        <v/>
      </c>
      <c r="AJ11" s="31">
        <f>COUNTIF(D11:AG11, "B")</f>
        <v/>
      </c>
      <c r="AK11" s="31">
        <f>COUNTIF(D11:AG11, "GL")</f>
        <v/>
      </c>
      <c r="AL11" s="31">
        <f>COUNTIF(D11:AG11, "GD")</f>
        <v/>
      </c>
      <c r="AM11" s="31">
        <f>COUNTIF(D11:AG11, "GB")</f>
        <v/>
      </c>
      <c r="AN11" s="32">
        <f>AJ11+(AH11*Setup!$B$8)+(AI11*Setup!$B$9)</f>
        <v/>
      </c>
      <c r="AO11" s="33">
        <f>COUNTIF(D11:AG11, "L")+COUNTIF(D11:AG11, "D")+COUNTIF(D11:AG11, "B")</f>
        <v/>
      </c>
      <c r="AP11" s="32">
        <f>AM11+(AK11*Setup!$B$8)+(AL11*Setup!$B$9)</f>
        <v/>
      </c>
    </row>
    <row r="12">
      <c r="A12" s="25" t="n">
        <v>7</v>
      </c>
      <c r="B12" s="7" t="inlineStr">
        <is>
          <t>khoka moni</t>
        </is>
      </c>
      <c r="C12" s="26" t="inlineStr">
        <is>
          <t>manager</t>
        </is>
      </c>
      <c r="D12" s="27" t="inlineStr"/>
      <c r="E12" s="27" t="inlineStr"/>
      <c r="F12" s="27" t="inlineStr"/>
      <c r="G12" s="27" t="inlineStr"/>
      <c r="H12" s="27" t="inlineStr"/>
      <c r="I12" s="27" t="inlineStr"/>
      <c r="J12" s="27" t="inlineStr"/>
      <c r="K12" s="27" t="inlineStr"/>
      <c r="L12" s="27" t="inlineStr"/>
      <c r="M12" s="27" t="inlineStr"/>
      <c r="N12" s="27" t="inlineStr"/>
      <c r="O12" s="27" t="inlineStr"/>
      <c r="P12" s="27" t="inlineStr"/>
      <c r="Q12" s="27" t="inlineStr"/>
      <c r="R12" s="27" t="inlineStr"/>
      <c r="S12" s="27" t="inlineStr">
        <is>
          <t>B</t>
        </is>
      </c>
      <c r="T12" s="27" t="inlineStr">
        <is>
          <t>B</t>
        </is>
      </c>
      <c r="U12" s="27" t="inlineStr">
        <is>
          <t>B</t>
        </is>
      </c>
      <c r="V12" s="27" t="inlineStr">
        <is>
          <t>B</t>
        </is>
      </c>
      <c r="W12" s="27" t="inlineStr">
        <is>
          <t>B</t>
        </is>
      </c>
      <c r="X12" s="27" t="inlineStr">
        <is>
          <t>B</t>
        </is>
      </c>
      <c r="Y12" s="27" t="inlineStr">
        <is>
          <t>B</t>
        </is>
      </c>
      <c r="Z12" s="27" t="inlineStr">
        <is>
          <t>B</t>
        </is>
      </c>
      <c r="AA12" s="27" t="inlineStr">
        <is>
          <t>B</t>
        </is>
      </c>
      <c r="AB12" s="27" t="inlineStr">
        <is>
          <t>B</t>
        </is>
      </c>
      <c r="AC12" s="27" t="inlineStr">
        <is>
          <t>B</t>
        </is>
      </c>
      <c r="AD12" s="27" t="inlineStr">
        <is>
          <t>B</t>
        </is>
      </c>
      <c r="AE12" s="27" t="inlineStr">
        <is>
          <t>B</t>
        </is>
      </c>
      <c r="AF12" s="27" t="inlineStr">
        <is>
          <t>B</t>
        </is>
      </c>
      <c r="AG12" s="27" t="inlineStr">
        <is>
          <t>B</t>
        </is>
      </c>
      <c r="AH12" s="28">
        <f>COUNTIF(D12:AG12, "L")</f>
        <v/>
      </c>
      <c r="AI12" s="28">
        <f>COUNTIF(D12:AG12, "D")</f>
        <v/>
      </c>
      <c r="AJ12" s="28">
        <f>COUNTIF(D12:AG12, "B")</f>
        <v/>
      </c>
      <c r="AK12" s="28">
        <f>COUNTIF(D12:AG12, "GL")</f>
        <v/>
      </c>
      <c r="AL12" s="28">
        <f>COUNTIF(D12:AG12, "GD")</f>
        <v/>
      </c>
      <c r="AM12" s="28">
        <f>COUNTIF(D12:AG12, "GB")</f>
        <v/>
      </c>
      <c r="AN12" s="29">
        <f>AJ12+(AH12*Setup!$B$8)+(AI12*Setup!$B$9)</f>
        <v/>
      </c>
      <c r="AO12" s="30">
        <f>COUNTIF(D12:AG12, "L")+COUNTIF(D12:AG12, "D")+COUNTIF(D12:AG12, "B")</f>
        <v/>
      </c>
      <c r="AP12" s="29">
        <f>AM12+(AK12*Setup!$B$8)+(AL12*Setup!$B$9)</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15"/>
  <sheetViews>
    <sheetView showGridLines="1" workbookViewId="0">
      <selection activeCell="A1" sqref="A1"/>
    </sheetView>
  </sheetViews>
  <sheetFormatPr baseColWidth="8" defaultRowHeight="15"/>
  <cols>
    <col width="40" customWidth="1" min="1" max="1"/>
    <col width="27" customWidth="1" min="2" max="2"/>
    <col width="10" customWidth="1" min="3" max="3"/>
    <col width="14" customWidth="1" min="4" max="4"/>
    <col width="13" customWidth="1" min="5" max="5"/>
    <col width="13" customWidth="1" min="6" max="6"/>
    <col width="24" customWidth="1" min="7" max="7"/>
    <col width="18" customWidth="1" min="8" max="8"/>
    <col width="14" customWidth="1" min="9" max="9"/>
    <col width="24" customWidth="1" min="10" max="10"/>
    <col width="21" customWidth="1" min="11" max="11"/>
    <col width="18" customWidth="1" min="12" max="12"/>
    <col width="23" customWidth="1" min="13" max="13"/>
    <col width="19" customWidth="1" min="14" max="14"/>
    <col width="24" customWidth="1" min="15" max="15"/>
  </cols>
  <sheetData>
    <row r="1">
      <c r="A1" s="9" t="inlineStr">
        <is>
          <t>Member Ledger &amp; Balance Sheet</t>
        </is>
      </c>
    </row>
    <row r="2">
      <c r="A2" s="2" t="inlineStr">
        <is>
          <t>Active Ledger for Muktijoddha Hall - June 2026</t>
        </is>
      </c>
    </row>
    <row r="3"/>
    <row r="4">
      <c r="A4" s="34" t="inlineStr">
        <is>
          <t>Note: Columns in Teal (H, I, J, K, L, M, N, O) contain EXCEL FORMULAS. Do not manually edit them.</t>
        </is>
      </c>
    </row>
    <row r="5"/>
    <row r="6"/>
    <row r="7"/>
    <row r="8"/>
    <row r="9" ht="28" customHeight="1">
      <c r="A9" s="35" t="inlineStr">
        <is>
          <t>Member ID</t>
        </is>
      </c>
      <c r="B9" s="35" t="inlineStr">
        <is>
          <t>Name</t>
        </is>
      </c>
      <c r="C9" s="35" t="inlineStr">
        <is>
          <t>Room No</t>
        </is>
      </c>
      <c r="D9" s="35" t="inlineStr">
        <is>
          <t>Phone No</t>
        </is>
      </c>
      <c r="E9" s="35" t="inlineStr">
        <is>
          <t>Role</t>
        </is>
      </c>
      <c r="F9" s="35" t="inlineStr">
        <is>
          <t>Free Meal?</t>
        </is>
      </c>
      <c r="G9" s="36" t="inlineStr">
        <is>
          <t>Opening Balance (BDT)</t>
        </is>
      </c>
      <c r="H9" s="37" t="inlineStr">
        <is>
          <t>Home Meal Units</t>
        </is>
      </c>
      <c r="I9" s="37" t="inlineStr">
        <is>
          <t>Active Days</t>
        </is>
      </c>
      <c r="J9" s="37" t="inlineStr">
        <is>
          <t>Guest Meal Cost (BDT)</t>
        </is>
      </c>
      <c r="K9" s="37" t="inlineStr">
        <is>
          <t>Manager Fees (BDT)</t>
        </is>
      </c>
      <c r="L9" s="37" t="inlineStr">
        <is>
          <t>Meal Cost (BDT)</t>
        </is>
      </c>
      <c r="M9" s="37" t="inlineStr">
        <is>
          <t>Total Deposits (BDT)</t>
        </is>
      </c>
      <c r="N9" s="37" t="inlineStr">
        <is>
          <t>Total Bill (BDT)</t>
        </is>
      </c>
      <c r="O9" s="37" t="inlineStr">
        <is>
          <t>Closing Balance (BDT)</t>
        </is>
      </c>
    </row>
    <row r="10">
      <c r="A10" s="25" t="n">
        <v>1</v>
      </c>
      <c r="B10" s="7" t="inlineStr">
        <is>
          <t>System Super Admin</t>
        </is>
      </c>
      <c r="C10" s="27" t="inlineStr"/>
      <c r="D10" s="27" t="inlineStr">
        <is>
          <t>01711223344</t>
        </is>
      </c>
      <c r="E10" s="38" t="inlineStr">
        <is>
          <t>superadmin</t>
        </is>
      </c>
      <c r="F10" s="27" t="inlineStr">
        <is>
          <t>No</t>
        </is>
      </c>
      <c r="G10" s="16" t="n">
        <v>0</v>
      </c>
      <c r="H10" s="39">
        <f>IFERROR(VLOOKUP(A10, 'Meals Grid'!$A$8:$AP$1000, 40, FALSE), 0)</f>
        <v/>
      </c>
      <c r="I10" s="40">
        <f>IFERROR(VLOOKUP(A10, 'Meals Grid'!$A$8:$AP$1000, 41, FALSE), 0)</f>
        <v/>
      </c>
      <c r="J10" s="41">
        <f>IFERROR(VLOOKUP(A10, 'Meals Grid'!$A$8:$AP$1000, 42, FALSE), 0) * Setup!$B$6</f>
        <v/>
      </c>
      <c r="K10" s="41">
        <f>IF(F10="Yes", 0, I10 * Setup!$B$7)</f>
        <v/>
      </c>
      <c r="L10" s="41">
        <f>IF(F10="Yes", 0, H10 * Dashboard!$C$9)</f>
        <v/>
      </c>
      <c r="M10" s="41">
        <f>SUMIF(Deposits!$B$7:$B$1000, A10, Deposits!$D$7:$D$1000)</f>
        <v/>
      </c>
      <c r="N10" s="42">
        <f>J10+K10+L10</f>
        <v/>
      </c>
      <c r="O10" s="42">
        <f>G10+M10-N10</f>
        <v/>
      </c>
    </row>
    <row r="11">
      <c r="A11" s="43" t="n">
        <v>4</v>
      </c>
      <c r="B11" s="17" t="inlineStr">
        <is>
          <t>Kamrul Islam</t>
        </is>
      </c>
      <c r="C11" s="44" t="inlineStr">
        <is>
          <t>102</t>
        </is>
      </c>
      <c r="D11" s="44" t="inlineStr">
        <is>
          <t>01511223344</t>
        </is>
      </c>
      <c r="E11" s="45" t="inlineStr">
        <is>
          <t>student</t>
        </is>
      </c>
      <c r="F11" s="44" t="inlineStr">
        <is>
          <t>No</t>
        </is>
      </c>
      <c r="G11" s="18" t="n">
        <v>1500</v>
      </c>
      <c r="H11" s="39">
        <f>IFERROR(VLOOKUP(A11, 'Meals Grid'!$A$8:$AP$1000, 40, FALSE), 0)</f>
        <v/>
      </c>
      <c r="I11" s="40">
        <f>IFERROR(VLOOKUP(A11, 'Meals Grid'!$A$8:$AP$1000, 41, FALSE), 0)</f>
        <v/>
      </c>
      <c r="J11" s="41">
        <f>IFERROR(VLOOKUP(A11, 'Meals Grid'!$A$8:$AP$1000, 42, FALSE), 0) * Setup!$B$6</f>
        <v/>
      </c>
      <c r="K11" s="41">
        <f>IF(F11="Yes", 0, I11 * Setup!$B$7)</f>
        <v/>
      </c>
      <c r="L11" s="41">
        <f>IF(F11="Yes", 0, H11 * Dashboard!$C$9)</f>
        <v/>
      </c>
      <c r="M11" s="41">
        <f>SUMIF(Deposits!$B$7:$B$1000, A11, Deposits!$D$7:$D$1000)</f>
        <v/>
      </c>
      <c r="N11" s="42">
        <f>J11+K11+L11</f>
        <v/>
      </c>
      <c r="O11" s="42">
        <f>G11+M11-N11</f>
        <v/>
      </c>
    </row>
    <row r="12">
      <c r="A12" s="25" t="n">
        <v>5</v>
      </c>
      <c r="B12" s="7" t="inlineStr">
        <is>
          <t>Rakib Hasan</t>
        </is>
      </c>
      <c r="C12" s="27" t="inlineStr">
        <is>
          <t>103</t>
        </is>
      </c>
      <c r="D12" s="27" t="inlineStr">
        <is>
          <t>01611223344</t>
        </is>
      </c>
      <c r="E12" s="38" t="inlineStr">
        <is>
          <t>student</t>
        </is>
      </c>
      <c r="F12" s="27" t="inlineStr">
        <is>
          <t>No</t>
        </is>
      </c>
      <c r="G12" s="16" t="n">
        <v>2000</v>
      </c>
      <c r="H12" s="39">
        <f>IFERROR(VLOOKUP(A12, 'Meals Grid'!$A$8:$AP$1000, 40, FALSE), 0)</f>
        <v/>
      </c>
      <c r="I12" s="40">
        <f>IFERROR(VLOOKUP(A12, 'Meals Grid'!$A$8:$AP$1000, 41, FALSE), 0)</f>
        <v/>
      </c>
      <c r="J12" s="41">
        <f>IFERROR(VLOOKUP(A12, 'Meals Grid'!$A$8:$AP$1000, 42, FALSE), 0) * Setup!$B$6</f>
        <v/>
      </c>
      <c r="K12" s="41">
        <f>IF(F12="Yes", 0, I12 * Setup!$B$7)</f>
        <v/>
      </c>
      <c r="L12" s="41">
        <f>IF(F12="Yes", 0, H12 * Dashboard!$C$9)</f>
        <v/>
      </c>
      <c r="M12" s="41">
        <f>SUMIF(Deposits!$B$7:$B$1000, A12, Deposits!$D$7:$D$1000)</f>
        <v/>
      </c>
      <c r="N12" s="42">
        <f>J12+K12+L12</f>
        <v/>
      </c>
      <c r="O12" s="42">
        <f>G12+M12-N12</f>
        <v/>
      </c>
    </row>
    <row r="13">
      <c r="A13" s="43" t="n">
        <v>2</v>
      </c>
      <c r="B13" s="17" t="inlineStr">
        <is>
          <t>Sabbir Ahmed (Mukti Mgr)</t>
        </is>
      </c>
      <c r="C13" s="44" t="inlineStr">
        <is>
          <t>302</t>
        </is>
      </c>
      <c r="D13" s="44" t="inlineStr">
        <is>
          <t>01911223344</t>
        </is>
      </c>
      <c r="E13" s="45" t="inlineStr">
        <is>
          <t>manager</t>
        </is>
      </c>
      <c r="F13" s="44" t="inlineStr">
        <is>
          <t>Yes</t>
        </is>
      </c>
      <c r="G13" s="18" t="n">
        <v>1566</v>
      </c>
      <c r="H13" s="39">
        <f>IFERROR(VLOOKUP(A13, 'Meals Grid'!$A$8:$AP$1000, 40, FALSE), 0)</f>
        <v/>
      </c>
      <c r="I13" s="40">
        <f>IFERROR(VLOOKUP(A13, 'Meals Grid'!$A$8:$AP$1000, 41, FALSE), 0)</f>
        <v/>
      </c>
      <c r="J13" s="41">
        <f>IFERROR(VLOOKUP(A13, 'Meals Grid'!$A$8:$AP$1000, 42, FALSE), 0) * Setup!$B$6</f>
        <v/>
      </c>
      <c r="K13" s="41">
        <f>IF(F13="Yes", 0, I13 * Setup!$B$7)</f>
        <v/>
      </c>
      <c r="L13" s="41">
        <f>IF(F13="Yes", 0, H13 * Dashboard!$C$9)</f>
        <v/>
      </c>
      <c r="M13" s="41">
        <f>SUMIF(Deposits!$B$7:$B$1000, A13, Deposits!$D$7:$D$1000)</f>
        <v/>
      </c>
      <c r="N13" s="42">
        <f>J13+K13+L13</f>
        <v/>
      </c>
      <c r="O13" s="42">
        <f>G13+M13-N13</f>
        <v/>
      </c>
    </row>
    <row r="14">
      <c r="A14" s="25" t="n">
        <v>7</v>
      </c>
      <c r="B14" s="7" t="inlineStr">
        <is>
          <t>khoka moni</t>
        </is>
      </c>
      <c r="C14" s="27" t="inlineStr">
        <is>
          <t>208</t>
        </is>
      </c>
      <c r="D14" s="27" t="inlineStr">
        <is>
          <t>01521769018</t>
        </is>
      </c>
      <c r="E14" s="38" t="inlineStr">
        <is>
          <t>manager</t>
        </is>
      </c>
      <c r="F14" s="27" t="inlineStr">
        <is>
          <t>No</t>
        </is>
      </c>
      <c r="G14" s="16" t="n">
        <v>1000</v>
      </c>
      <c r="H14" s="39">
        <f>IFERROR(VLOOKUP(A14, 'Meals Grid'!$A$8:$AP$1000, 40, FALSE), 0)</f>
        <v/>
      </c>
      <c r="I14" s="40">
        <f>IFERROR(VLOOKUP(A14, 'Meals Grid'!$A$8:$AP$1000, 41, FALSE), 0)</f>
        <v/>
      </c>
      <c r="J14" s="41">
        <f>IFERROR(VLOOKUP(A14, 'Meals Grid'!$A$8:$AP$1000, 42, FALSE), 0) * Setup!$B$6</f>
        <v/>
      </c>
      <c r="K14" s="41">
        <f>IF(F14="Yes", 0, I14 * Setup!$B$7)</f>
        <v/>
      </c>
      <c r="L14" s="41">
        <f>IF(F14="Yes", 0, H14 * Dashboard!$C$9)</f>
        <v/>
      </c>
      <c r="M14" s="41">
        <f>SUMIF(Deposits!$B$7:$B$1000, A14, Deposits!$D$7:$D$1000)</f>
        <v/>
      </c>
      <c r="N14" s="42">
        <f>J14+K14+L14</f>
        <v/>
      </c>
      <c r="O14" s="42">
        <f>G14+M14-N14</f>
        <v/>
      </c>
    </row>
    <row r="15">
      <c r="A15" s="46" t="n"/>
      <c r="B15" s="46" t="inlineStr">
        <is>
          <t>Total</t>
        </is>
      </c>
      <c r="C15" s="46" t="n"/>
      <c r="D15" s="46" t="n"/>
      <c r="E15" s="46" t="n"/>
      <c r="F15" s="46" t="n"/>
      <c r="G15" s="47">
        <f>SUM(G10:G14)</f>
        <v/>
      </c>
      <c r="H15" s="48">
        <f>SUM(H10:H14)</f>
        <v/>
      </c>
      <c r="I15" s="49">
        <f>SUM(I10:I14)</f>
        <v/>
      </c>
      <c r="J15" s="47">
        <f>SUM(J10:J14)</f>
        <v/>
      </c>
      <c r="K15" s="47">
        <f>SUM(K10:K14)</f>
        <v/>
      </c>
      <c r="L15" s="47">
        <f>SUM(L10:L14)</f>
        <v/>
      </c>
      <c r="M15" s="47">
        <f>SUM(M10:M14)</f>
        <v/>
      </c>
      <c r="N15" s="47">
        <f>SUM(N10:N14)</f>
        <v/>
      </c>
      <c r="O15" s="47">
        <f>SUM(O10:O14)</f>
        <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30"/>
  <sheetViews>
    <sheetView showGridLines="1" workbookViewId="0">
      <selection activeCell="A1" sqref="A1"/>
    </sheetView>
  </sheetViews>
  <sheetFormatPr baseColWidth="8" defaultRowHeight="15"/>
  <cols>
    <col width="37" customWidth="1" min="1" max="1"/>
    <col width="19" customWidth="1" min="2" max="2"/>
    <col width="11" customWidth="1" min="3" max="3"/>
    <col width="10" customWidth="1" min="4" max="4"/>
    <col width="15" customWidth="1" min="5" max="5"/>
  </cols>
  <sheetData>
    <row r="1">
      <c r="A1" s="9" t="inlineStr">
        <is>
          <t>Bazaar Expense Ledger</t>
        </is>
      </c>
    </row>
    <row r="2">
      <c r="A2" s="2" t="inlineStr">
        <is>
          <t>Log daily purchases for June 2026.</t>
        </is>
      </c>
    </row>
    <row r="3"/>
    <row r="4"/>
    <row r="5"/>
    <row r="6">
      <c r="A6" s="22" t="inlineStr">
        <is>
          <t>Date</t>
        </is>
      </c>
      <c r="B6" s="22" t="inlineStr">
        <is>
          <t>Item Description</t>
        </is>
      </c>
      <c r="C6" s="50" t="inlineStr">
        <is>
          <t>Quantity</t>
        </is>
      </c>
      <c r="D6" s="22" t="inlineStr">
        <is>
          <t>Unit</t>
        </is>
      </c>
      <c r="E6" s="50" t="inlineStr">
        <is>
          <t>Amount (BDT)</t>
        </is>
      </c>
    </row>
    <row r="7">
      <c r="A7" s="27" t="inlineStr">
        <is>
          <t>2026-06-15</t>
        </is>
      </c>
      <c r="B7" s="7" t="inlineStr">
        <is>
          <t>rice</t>
        </is>
      </c>
      <c r="C7" s="13" t="n">
        <v>2</v>
      </c>
      <c r="D7" s="27" t="inlineStr">
        <is>
          <t>kg</t>
        </is>
      </c>
      <c r="E7" s="16" t="n">
        <v>155</v>
      </c>
    </row>
    <row r="8">
      <c r="A8" s="27" t="inlineStr">
        <is>
          <t>2026-06-15</t>
        </is>
      </c>
      <c r="B8" s="7" t="inlineStr">
        <is>
          <t>murgi</t>
        </is>
      </c>
      <c r="C8" s="13" t="n">
        <v>10</v>
      </c>
      <c r="D8" s="27" t="inlineStr">
        <is>
          <t>kg</t>
        </is>
      </c>
      <c r="E8" s="16" t="n">
        <v>5000</v>
      </c>
    </row>
    <row r="9">
      <c r="A9" s="27" t="inlineStr"/>
      <c r="B9" s="7" t="inlineStr"/>
      <c r="C9" s="13" t="inlineStr"/>
      <c r="D9" s="27" t="inlineStr"/>
      <c r="E9" s="16" t="inlineStr"/>
    </row>
    <row r="10">
      <c r="A10" s="27" t="inlineStr"/>
      <c r="B10" s="7" t="inlineStr"/>
      <c r="C10" s="13" t="inlineStr"/>
      <c r="D10" s="27" t="inlineStr"/>
      <c r="E10" s="16" t="inlineStr"/>
    </row>
    <row r="11">
      <c r="A11" s="27" t="inlineStr"/>
      <c r="B11" s="7" t="inlineStr"/>
      <c r="C11" s="13" t="inlineStr"/>
      <c r="D11" s="27" t="inlineStr"/>
      <c r="E11" s="16" t="inlineStr"/>
    </row>
    <row r="12">
      <c r="A12" s="27" t="inlineStr"/>
      <c r="B12" s="7" t="inlineStr"/>
      <c r="C12" s="13" t="inlineStr"/>
      <c r="D12" s="27" t="inlineStr"/>
      <c r="E12" s="16" t="inlineStr"/>
    </row>
    <row r="13">
      <c r="A13" s="27" t="inlineStr"/>
      <c r="B13" s="7" t="inlineStr"/>
      <c r="C13" s="13" t="inlineStr"/>
      <c r="D13" s="27" t="inlineStr"/>
      <c r="E13" s="16" t="inlineStr"/>
    </row>
    <row r="14">
      <c r="A14" s="27" t="inlineStr"/>
      <c r="B14" s="7" t="inlineStr"/>
      <c r="C14" s="13" t="inlineStr"/>
      <c r="D14" s="27" t="inlineStr"/>
      <c r="E14" s="16" t="inlineStr"/>
    </row>
    <row r="15">
      <c r="A15" s="27" t="inlineStr"/>
      <c r="B15" s="7" t="inlineStr"/>
      <c r="C15" s="13" t="inlineStr"/>
      <c r="D15" s="27" t="inlineStr"/>
      <c r="E15" s="16" t="inlineStr"/>
    </row>
    <row r="16">
      <c r="A16" s="27" t="inlineStr"/>
      <c r="B16" s="7" t="inlineStr"/>
      <c r="C16" s="13" t="inlineStr"/>
      <c r="D16" s="27" t="inlineStr"/>
      <c r="E16" s="16" t="inlineStr"/>
    </row>
    <row r="17">
      <c r="A17" s="27" t="inlineStr"/>
      <c r="B17" s="7" t="inlineStr"/>
      <c r="C17" s="13" t="inlineStr"/>
      <c r="D17" s="27" t="inlineStr"/>
      <c r="E17" s="16" t="inlineStr"/>
    </row>
    <row r="18">
      <c r="A18" s="27" t="inlineStr"/>
      <c r="B18" s="7" t="inlineStr"/>
      <c r="C18" s="13" t="inlineStr"/>
      <c r="D18" s="27" t="inlineStr"/>
      <c r="E18" s="16" t="inlineStr"/>
    </row>
    <row r="19">
      <c r="A19" s="27" t="inlineStr"/>
      <c r="B19" s="7" t="inlineStr"/>
      <c r="C19" s="13" t="inlineStr"/>
      <c r="D19" s="27" t="inlineStr"/>
      <c r="E19" s="16" t="inlineStr"/>
    </row>
    <row r="20">
      <c r="A20" s="27" t="inlineStr"/>
      <c r="B20" s="7" t="inlineStr"/>
      <c r="C20" s="13" t="inlineStr"/>
      <c r="D20" s="27" t="inlineStr"/>
      <c r="E20" s="16" t="inlineStr"/>
    </row>
    <row r="21">
      <c r="A21" s="27" t="inlineStr"/>
      <c r="B21" s="7" t="inlineStr"/>
      <c r="C21" s="13" t="inlineStr"/>
      <c r="D21" s="27" t="inlineStr"/>
      <c r="E21" s="16" t="inlineStr"/>
    </row>
    <row r="22">
      <c r="A22" s="27" t="inlineStr"/>
      <c r="B22" s="7" t="inlineStr"/>
      <c r="C22" s="13" t="inlineStr"/>
      <c r="D22" s="27" t="inlineStr"/>
      <c r="E22" s="16" t="inlineStr"/>
    </row>
    <row r="23">
      <c r="A23" s="27" t="inlineStr"/>
      <c r="B23" s="7" t="inlineStr"/>
      <c r="C23" s="13" t="inlineStr"/>
      <c r="D23" s="27" t="inlineStr"/>
      <c r="E23" s="16" t="inlineStr"/>
    </row>
    <row r="24">
      <c r="A24" s="27" t="inlineStr"/>
      <c r="B24" s="7" t="inlineStr"/>
      <c r="C24" s="13" t="inlineStr"/>
      <c r="D24" s="27" t="inlineStr"/>
      <c r="E24" s="16" t="inlineStr"/>
    </row>
    <row r="25">
      <c r="A25" s="27" t="inlineStr"/>
      <c r="B25" s="7" t="inlineStr"/>
      <c r="C25" s="13" t="inlineStr"/>
      <c r="D25" s="27" t="inlineStr"/>
      <c r="E25" s="16" t="inlineStr"/>
    </row>
    <row r="26">
      <c r="A26" s="27" t="inlineStr"/>
      <c r="B26" s="7" t="inlineStr"/>
      <c r="C26" s="13" t="inlineStr"/>
      <c r="D26" s="27" t="inlineStr"/>
      <c r="E26" s="16" t="inlineStr"/>
    </row>
    <row r="27">
      <c r="A27" s="27" t="inlineStr"/>
      <c r="B27" s="7" t="inlineStr"/>
      <c r="C27" s="13" t="inlineStr"/>
      <c r="D27" s="27" t="inlineStr"/>
      <c r="E27" s="16" t="inlineStr"/>
    </row>
    <row r="28">
      <c r="A28" s="27" t="inlineStr"/>
      <c r="B28" s="7" t="inlineStr"/>
      <c r="C28" s="13" t="inlineStr"/>
      <c r="D28" s="27" t="inlineStr"/>
      <c r="E28" s="16" t="inlineStr"/>
    </row>
    <row r="29">
      <c r="A29" s="27" t="inlineStr"/>
      <c r="B29" s="7" t="inlineStr"/>
      <c r="C29" s="13" t="inlineStr"/>
      <c r="D29" s="27" t="inlineStr"/>
      <c r="E29" s="16" t="inlineStr"/>
    </row>
    <row r="30">
      <c r="A30" s="46" t="n"/>
      <c r="B30" s="46" t="inlineStr">
        <is>
          <t>Total Expenses</t>
        </is>
      </c>
      <c r="C30" s="46" t="n"/>
      <c r="D30" s="46" t="n"/>
      <c r="E30" s="47">
        <f>SUM(E7:E29)</f>
        <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30"/>
  <sheetViews>
    <sheetView showGridLines="1" workbookViewId="0">
      <selection activeCell="A1" sqref="A1"/>
    </sheetView>
  </sheetViews>
  <sheetFormatPr baseColWidth="8" defaultRowHeight="15"/>
  <cols>
    <col width="40" customWidth="1" min="1" max="1"/>
    <col width="17" customWidth="1" min="2" max="2"/>
    <col width="14" customWidth="1" min="3" max="3"/>
    <col width="15" customWidth="1" min="4" max="4"/>
    <col width="40" customWidth="1" min="5" max="5"/>
  </cols>
  <sheetData>
    <row r="1">
      <c r="A1" s="9" t="inlineStr">
        <is>
          <t>Student Deposit Ledger</t>
        </is>
      </c>
    </row>
    <row r="2">
      <c r="A2" s="2" t="inlineStr">
        <is>
          <t>Log student meal payments (Cash / Bank / bKash) for June 2026.</t>
        </is>
      </c>
    </row>
    <row r="3"/>
    <row r="4">
      <c r="A4" s="34" t="inlineStr">
        <is>
          <t>Note: Column C (Name) contains an EXCEL FORMULA. It will auto-fill when you type a valid Member ID.</t>
        </is>
      </c>
    </row>
    <row r="5"/>
    <row r="6">
      <c r="A6" s="22" t="inlineStr">
        <is>
          <t>Date</t>
        </is>
      </c>
      <c r="B6" s="22" t="inlineStr">
        <is>
          <t>Member ID</t>
        </is>
      </c>
      <c r="C6" s="51" t="inlineStr">
        <is>
          <t>Name (Auto)</t>
        </is>
      </c>
      <c r="D6" s="50" t="inlineStr">
        <is>
          <t>Amount (BDT)</t>
        </is>
      </c>
      <c r="E6" s="22" t="inlineStr">
        <is>
          <t>Description / Transaction Ref</t>
        </is>
      </c>
    </row>
    <row r="7">
      <c r="A7" s="27" t="inlineStr">
        <is>
          <t>2026-06-15</t>
        </is>
      </c>
      <c r="B7" s="25" t="n">
        <v>7</v>
      </c>
      <c r="C7" s="52">
        <f>IFERROR(VLOOKUP(B7, 'Members &amp; Balances'!$A$10:$B$1000, 2, FALSE), "")</f>
        <v/>
      </c>
      <c r="D7" s="16" t="n">
        <v>1000</v>
      </c>
      <c r="E7" s="7" t="inlineStr">
        <is>
          <t>cash</t>
        </is>
      </c>
    </row>
    <row r="8">
      <c r="A8" s="27" t="inlineStr">
        <is>
          <t>2026-06-15</t>
        </is>
      </c>
      <c r="B8" s="25" t="n">
        <v>2</v>
      </c>
      <c r="C8" s="52">
        <f>IFERROR(VLOOKUP(B8, 'Members &amp; Balances'!$A$10:$B$1000, 2, FALSE), "")</f>
        <v/>
      </c>
      <c r="D8" s="16" t="n">
        <v>500</v>
      </c>
      <c r="E8" s="7" t="inlineStr">
        <is>
          <t>bKash Send Money (Sender: 01711223344, TrxID: ZZCNQOFS27)</t>
        </is>
      </c>
    </row>
    <row r="9">
      <c r="A9" s="27" t="inlineStr">
        <is>
          <t>2026-06-15</t>
        </is>
      </c>
      <c r="B9" s="25" t="n">
        <v>2</v>
      </c>
      <c r="C9" s="52">
        <f>IFERROR(VLOOKUP(B9, 'Members &amp; Balances'!$A$10:$B$1000, 2, FALSE), "")</f>
        <v/>
      </c>
      <c r="D9" s="16" t="n">
        <v>566</v>
      </c>
      <c r="E9" s="7" t="inlineStr">
        <is>
          <t>bKash Send Money (Sender: Manager, TrxID: FSDFSADFWE)</t>
        </is>
      </c>
    </row>
    <row r="10">
      <c r="A10" s="27" t="inlineStr"/>
      <c r="B10" s="25" t="inlineStr"/>
      <c r="C10" s="52">
        <f>IFERROR(VLOOKUP(B10, 'Members &amp; Balances'!$A$10:$B$1000, 2, FALSE), "")</f>
        <v/>
      </c>
      <c r="D10" s="16" t="inlineStr"/>
      <c r="E10" s="7" t="inlineStr"/>
    </row>
    <row r="11">
      <c r="A11" s="27" t="inlineStr"/>
      <c r="B11" s="25" t="inlineStr"/>
      <c r="C11" s="52">
        <f>IFERROR(VLOOKUP(B11, 'Members &amp; Balances'!$A$10:$B$1000, 2, FALSE), "")</f>
        <v/>
      </c>
      <c r="D11" s="16" t="inlineStr"/>
      <c r="E11" s="7" t="inlineStr"/>
    </row>
    <row r="12">
      <c r="A12" s="27" t="inlineStr"/>
      <c r="B12" s="25" t="inlineStr"/>
      <c r="C12" s="52">
        <f>IFERROR(VLOOKUP(B12, 'Members &amp; Balances'!$A$10:$B$1000, 2, FALSE), "")</f>
        <v/>
      </c>
      <c r="D12" s="16" t="inlineStr"/>
      <c r="E12" s="7" t="inlineStr"/>
    </row>
    <row r="13">
      <c r="A13" s="27" t="inlineStr"/>
      <c r="B13" s="25" t="inlineStr"/>
      <c r="C13" s="52">
        <f>IFERROR(VLOOKUP(B13, 'Members &amp; Balances'!$A$10:$B$1000, 2, FALSE), "")</f>
        <v/>
      </c>
      <c r="D13" s="16" t="inlineStr"/>
      <c r="E13" s="7" t="inlineStr"/>
    </row>
    <row r="14">
      <c r="A14" s="27" t="inlineStr"/>
      <c r="B14" s="25" t="inlineStr"/>
      <c r="C14" s="52">
        <f>IFERROR(VLOOKUP(B14, 'Members &amp; Balances'!$A$10:$B$1000, 2, FALSE), "")</f>
        <v/>
      </c>
      <c r="D14" s="16" t="inlineStr"/>
      <c r="E14" s="7" t="inlineStr"/>
    </row>
    <row r="15">
      <c r="A15" s="27" t="inlineStr"/>
      <c r="B15" s="25" t="inlineStr"/>
      <c r="C15" s="52">
        <f>IFERROR(VLOOKUP(B15, 'Members &amp; Balances'!$A$10:$B$1000, 2, FALSE), "")</f>
        <v/>
      </c>
      <c r="D15" s="16" t="inlineStr"/>
      <c r="E15" s="7" t="inlineStr"/>
    </row>
    <row r="16">
      <c r="A16" s="27" t="inlineStr"/>
      <c r="B16" s="25" t="inlineStr"/>
      <c r="C16" s="52">
        <f>IFERROR(VLOOKUP(B16, 'Members &amp; Balances'!$A$10:$B$1000, 2, FALSE), "")</f>
        <v/>
      </c>
      <c r="D16" s="16" t="inlineStr"/>
      <c r="E16" s="7" t="inlineStr"/>
    </row>
    <row r="17">
      <c r="A17" s="27" t="inlineStr"/>
      <c r="B17" s="25" t="inlineStr"/>
      <c r="C17" s="52">
        <f>IFERROR(VLOOKUP(B17, 'Members &amp; Balances'!$A$10:$B$1000, 2, FALSE), "")</f>
        <v/>
      </c>
      <c r="D17" s="16" t="inlineStr"/>
      <c r="E17" s="7" t="inlineStr"/>
    </row>
    <row r="18">
      <c r="A18" s="27" t="inlineStr"/>
      <c r="B18" s="25" t="inlineStr"/>
      <c r="C18" s="52">
        <f>IFERROR(VLOOKUP(B18, 'Members &amp; Balances'!$A$10:$B$1000, 2, FALSE), "")</f>
        <v/>
      </c>
      <c r="D18" s="16" t="inlineStr"/>
      <c r="E18" s="7" t="inlineStr"/>
    </row>
    <row r="19">
      <c r="A19" s="27" t="inlineStr"/>
      <c r="B19" s="25" t="inlineStr"/>
      <c r="C19" s="52">
        <f>IFERROR(VLOOKUP(B19, 'Members &amp; Balances'!$A$10:$B$1000, 2, FALSE), "")</f>
        <v/>
      </c>
      <c r="D19" s="16" t="inlineStr"/>
      <c r="E19" s="7" t="inlineStr"/>
    </row>
    <row r="20">
      <c r="A20" s="27" t="inlineStr"/>
      <c r="B20" s="25" t="inlineStr"/>
      <c r="C20" s="52">
        <f>IFERROR(VLOOKUP(B20, 'Members &amp; Balances'!$A$10:$B$1000, 2, FALSE), "")</f>
        <v/>
      </c>
      <c r="D20" s="16" t="inlineStr"/>
      <c r="E20" s="7" t="inlineStr"/>
    </row>
    <row r="21">
      <c r="A21" s="27" t="inlineStr"/>
      <c r="B21" s="25" t="inlineStr"/>
      <c r="C21" s="52">
        <f>IFERROR(VLOOKUP(B21, 'Members &amp; Balances'!$A$10:$B$1000, 2, FALSE), "")</f>
        <v/>
      </c>
      <c r="D21" s="16" t="inlineStr"/>
      <c r="E21" s="7" t="inlineStr"/>
    </row>
    <row r="22">
      <c r="A22" s="27" t="inlineStr"/>
      <c r="B22" s="25" t="inlineStr"/>
      <c r="C22" s="52">
        <f>IFERROR(VLOOKUP(B22, 'Members &amp; Balances'!$A$10:$B$1000, 2, FALSE), "")</f>
        <v/>
      </c>
      <c r="D22" s="16" t="inlineStr"/>
      <c r="E22" s="7" t="inlineStr"/>
    </row>
    <row r="23">
      <c r="A23" s="27" t="inlineStr"/>
      <c r="B23" s="25" t="inlineStr"/>
      <c r="C23" s="52">
        <f>IFERROR(VLOOKUP(B23, 'Members &amp; Balances'!$A$10:$B$1000, 2, FALSE), "")</f>
        <v/>
      </c>
      <c r="D23" s="16" t="inlineStr"/>
      <c r="E23" s="7" t="inlineStr"/>
    </row>
    <row r="24">
      <c r="A24" s="27" t="inlineStr"/>
      <c r="B24" s="25" t="inlineStr"/>
      <c r="C24" s="52">
        <f>IFERROR(VLOOKUP(B24, 'Members &amp; Balances'!$A$10:$B$1000, 2, FALSE), "")</f>
        <v/>
      </c>
      <c r="D24" s="16" t="inlineStr"/>
      <c r="E24" s="7" t="inlineStr"/>
    </row>
    <row r="25">
      <c r="A25" s="27" t="inlineStr"/>
      <c r="B25" s="25" t="inlineStr"/>
      <c r="C25" s="52">
        <f>IFERROR(VLOOKUP(B25, 'Members &amp; Balances'!$A$10:$B$1000, 2, FALSE), "")</f>
        <v/>
      </c>
      <c r="D25" s="16" t="inlineStr"/>
      <c r="E25" s="7" t="inlineStr"/>
    </row>
    <row r="26">
      <c r="A26" s="27" t="inlineStr"/>
      <c r="B26" s="25" t="inlineStr"/>
      <c r="C26" s="52">
        <f>IFERROR(VLOOKUP(B26, 'Members &amp; Balances'!$A$10:$B$1000, 2, FALSE), "")</f>
        <v/>
      </c>
      <c r="D26" s="16" t="inlineStr"/>
      <c r="E26" s="7" t="inlineStr"/>
    </row>
    <row r="27">
      <c r="A27" s="27" t="inlineStr"/>
      <c r="B27" s="25" t="inlineStr"/>
      <c r="C27" s="52">
        <f>IFERROR(VLOOKUP(B27, 'Members &amp; Balances'!$A$10:$B$1000, 2, FALSE), "")</f>
        <v/>
      </c>
      <c r="D27" s="16" t="inlineStr"/>
      <c r="E27" s="7" t="inlineStr"/>
    </row>
    <row r="28">
      <c r="A28" s="27" t="inlineStr"/>
      <c r="B28" s="25" t="inlineStr"/>
      <c r="C28" s="52">
        <f>IFERROR(VLOOKUP(B28, 'Members &amp; Balances'!$A$10:$B$1000, 2, FALSE), "")</f>
        <v/>
      </c>
      <c r="D28" s="16" t="inlineStr"/>
      <c r="E28" s="7" t="inlineStr"/>
    </row>
    <row r="29">
      <c r="A29" s="27" t="inlineStr"/>
      <c r="B29" s="25" t="inlineStr"/>
      <c r="C29" s="52">
        <f>IFERROR(VLOOKUP(B29, 'Members &amp; Balances'!$A$10:$B$1000, 2, FALSE), "")</f>
        <v/>
      </c>
      <c r="D29" s="16" t="inlineStr"/>
      <c r="E29" s="7" t="inlineStr"/>
    </row>
    <row r="30">
      <c r="A30" s="46" t="n"/>
      <c r="B30" s="46" t="inlineStr">
        <is>
          <t>Total Deposits</t>
        </is>
      </c>
      <c r="C30" s="46" t="n"/>
      <c r="D30" s="47">
        <f>SUM(D7:D29)</f>
        <v/>
      </c>
      <c r="E30" s="46"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2026-06-16T09:58:27Z</dcterms:created>
  <dcterms:modified xsi:type="dcterms:W3CDTF">2026-06-16T09:58:27Z</dcterms:modified>
</cp:coreProperties>
</file>