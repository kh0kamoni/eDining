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Lists" sheetId="1" state="hidden" r:id="rId1"/>
    <sheet name="Instructions" sheetId="2" state="visible" r:id="rId2"/>
    <sheet name="Setup" sheetId="3" state="visible" r:id="rId3"/>
    <sheet name="Dashboard" sheetId="4" state="visible" r:id="rId4"/>
    <sheet name="Meals Grid" sheetId="5" state="visible" r:id="rId5"/>
    <sheet name="Members &amp; Balances" sheetId="6" state="visible" r:id="rId6"/>
    <sheet name="Expenses" sheetId="7" state="visible" r:id="rId7"/>
    <sheet name="Deposits" sheetId="8" state="visible" r:id="rId8"/>
    <sheet name="bKash Transac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৳#,##0.00"/>
    <numFmt numFmtId="165" formatCode="dd-mmm"/>
  </numFmts>
  <fonts count="12">
    <font>
      <name val="Calibri"/>
      <family val="2"/>
      <color theme="1"/>
      <sz val="11"/>
      <scheme val="minor"/>
    </font>
    <font>
      <name val="Segoe UI"/>
      <b val="1"/>
      <color rgb="001E293B"/>
      <sz val="10"/>
    </font>
    <font>
      <name val="Segoe UI"/>
      <color rgb="001E293B"/>
      <sz val="10"/>
    </font>
    <font>
      <name val="Segoe UI"/>
      <b val="1"/>
      <color rgb="000F766E"/>
      <sz val="18"/>
    </font>
    <font>
      <name val="Segoe UI"/>
      <i val="1"/>
      <color rgb="0064748B"/>
      <sz val="10"/>
    </font>
    <font>
      <name val="Segoe UI"/>
      <b val="1"/>
      <color rgb="000284C7"/>
      <sz val="10"/>
      <u val="single"/>
    </font>
    <font>
      <name val="Segoe UI"/>
      <b val="1"/>
      <color rgb="000F766E"/>
      <sz val="12"/>
    </font>
    <font>
      <name val="Segoe UI"/>
      <b val="1"/>
      <color rgb="001E293B"/>
      <sz val="16"/>
    </font>
    <font>
      <name val="Segoe UI"/>
      <b val="1"/>
      <color rgb="00FFFFFF"/>
      <sz val="10"/>
    </font>
    <font>
      <name val="Segoe UI"/>
      <b val="1"/>
      <color rgb="000F766E"/>
      <sz val="11"/>
    </font>
    <font>
      <name val="Segoe UI"/>
      <i val="1"/>
      <color rgb="0064748B"/>
      <sz val="9"/>
    </font>
    <font>
      <name val="Segoe UI"/>
      <b val="1"/>
      <color rgb="000F766E"/>
      <sz val="9"/>
    </font>
  </fonts>
  <fills count="10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0F766E"/>
        <bgColor rgb="000F766E"/>
      </patternFill>
    </fill>
    <fill>
      <patternFill patternType="solid">
        <fgColor rgb="00F8FAFC"/>
        <bgColor rgb="00F8FAFC"/>
      </patternFill>
    </fill>
    <fill>
      <patternFill patternType="solid">
        <fgColor rgb="00CCFBF1"/>
        <bgColor rgb="00CCFBF1"/>
      </patternFill>
    </fill>
    <fill>
      <patternFill patternType="solid">
        <fgColor rgb="00FFE4E6"/>
        <bgColor rgb="00FFE4E6"/>
      </patternFill>
    </fill>
    <fill>
      <patternFill patternType="solid">
        <fgColor rgb="00334155"/>
        <bgColor rgb="00334155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2" borderId="1" pivotButton="0" quotePrefix="0" xfId="0"/>
    <xf numFmtId="0" fontId="6" fillId="0" borderId="0" pivotButton="0" quotePrefix="0" xfId="0"/>
    <xf numFmtId="0" fontId="1" fillId="3" borderId="1" pivotButton="0" quotePrefix="0" xfId="0"/>
    <xf numFmtId="0" fontId="2" fillId="0" borderId="1" pivotButton="0" quotePrefix="0" xfId="0"/>
    <xf numFmtId="0" fontId="7" fillId="0" borderId="0" pivotButton="0" quotePrefix="0" xfId="0"/>
    <xf numFmtId="0" fontId="2" fillId="4" borderId="1" applyAlignment="1" pivotButton="0" quotePrefix="0" xfId="0">
      <alignment horizontal="left"/>
    </xf>
    <xf numFmtId="0" fontId="1" fillId="0" borderId="1" pivotButton="0" quotePrefix="0" xfId="0"/>
    <xf numFmtId="0" fontId="2" fillId="0" borderId="1" applyAlignment="1" pivotButton="0" quotePrefix="0" xfId="0">
      <alignment horizontal="left"/>
    </xf>
    <xf numFmtId="1" fontId="2" fillId="0" borderId="1" applyAlignment="1" pivotButton="0" quotePrefix="0" xfId="0">
      <alignment horizontal="right"/>
    </xf>
    <xf numFmtId="2" fontId="2" fillId="0" borderId="1" applyAlignment="1" pivotButton="0" quotePrefix="0" xfId="0">
      <alignment horizontal="right"/>
    </xf>
    <xf numFmtId="0" fontId="2" fillId="5" borderId="1" applyAlignment="1" pivotButton="0" quotePrefix="0" xfId="0">
      <alignment horizontal="left"/>
    </xf>
    <xf numFmtId="0" fontId="2" fillId="5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0" fontId="2" fillId="6" borderId="1" pivotButton="0" quotePrefix="0" xfId="0"/>
    <xf numFmtId="4" fontId="2" fillId="6" borderId="1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0" fontId="9" fillId="7" borderId="1" pivotButton="0" quotePrefix="0" xfId="0"/>
    <xf numFmtId="164" fontId="9" fillId="7" borderId="1" applyAlignment="1" pivotButton="0" quotePrefix="0" xfId="0">
      <alignment horizontal="right"/>
    </xf>
    <xf numFmtId="0" fontId="2" fillId="8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165" fontId="1" fillId="3" borderId="1" applyAlignment="1" pivotButton="0" quotePrefix="0" xfId="0">
      <alignment horizontal="center"/>
    </xf>
    <xf numFmtId="0" fontId="8" fillId="4" borderId="1" pivotButton="0" quotePrefix="0" xfId="0"/>
    <xf numFmtId="0" fontId="8" fillId="9" borderId="1" applyAlignment="1" pivotButton="0" quotePrefix="0" xfId="0">
      <alignment horizontal="center"/>
    </xf>
    <xf numFmtId="0" fontId="8" fillId="5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/>
    </xf>
    <xf numFmtId="0" fontId="10" fillId="0" borderId="1" pivotButton="0" quotePrefix="0" xfId="0"/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2" fontId="1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2" fillId="6" borderId="1" applyAlignment="1" pivotButton="0" quotePrefix="0" xfId="0">
      <alignment horizontal="center"/>
    </xf>
    <xf numFmtId="2" fontId="1" fillId="6" borderId="1" applyAlignment="1" pivotButton="0" quotePrefix="0" xfId="0">
      <alignment horizontal="center"/>
    </xf>
    <xf numFmtId="1" fontId="1" fillId="6" borderId="1" applyAlignment="1" pivotButton="0" quotePrefix="0" xfId="0">
      <alignment horizontal="center"/>
    </xf>
    <xf numFmtId="0" fontId="11" fillId="0" borderId="0" pivotButton="0" quotePrefix="0" xfId="0"/>
    <xf numFmtId="0" fontId="8" fillId="4" borderId="1" applyAlignment="1" pivotButton="0" quotePrefix="0" xfId="0">
      <alignment horizontal="left" wrapText="1"/>
    </xf>
    <xf numFmtId="0" fontId="8" fillId="4" borderId="1" applyAlignment="1" pivotButton="0" quotePrefix="0" xfId="0">
      <alignment horizontal="right" wrapText="1"/>
    </xf>
    <xf numFmtId="0" fontId="8" fillId="5" borderId="1" applyAlignment="1" pivotButton="0" quotePrefix="0" xfId="0">
      <alignment horizontal="right" wrapText="1"/>
    </xf>
    <xf numFmtId="0" fontId="10" fillId="0" borderId="1" applyAlignment="1" pivotButton="0" quotePrefix="0" xfId="0">
      <alignment horizontal="center"/>
    </xf>
    <xf numFmtId="2" fontId="2" fillId="7" borderId="1" applyAlignment="1" pivotButton="0" quotePrefix="0" xfId="0">
      <alignment horizontal="right"/>
    </xf>
    <xf numFmtId="1" fontId="2" fillId="7" borderId="1" applyAlignment="1" pivotButton="0" quotePrefix="0" xfId="0">
      <alignment horizontal="right"/>
    </xf>
    <xf numFmtId="4" fontId="2" fillId="7" borderId="1" applyAlignment="1" pivotButton="0" quotePrefix="0" xfId="0">
      <alignment horizontal="right"/>
    </xf>
    <xf numFmtId="4" fontId="1" fillId="7" borderId="1" applyAlignment="1" pivotButton="0" quotePrefix="0" xfId="0">
      <alignment horizontal="right"/>
    </xf>
    <xf numFmtId="0" fontId="1" fillId="6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1" fillId="0" borderId="5" pivotButton="0" quotePrefix="0" xfId="0"/>
    <xf numFmtId="4" fontId="1" fillId="0" borderId="5" applyAlignment="1" pivotButton="0" quotePrefix="0" xfId="0">
      <alignment horizontal="right"/>
    </xf>
    <xf numFmtId="2" fontId="1" fillId="0" borderId="5" applyAlignment="1" pivotButton="0" quotePrefix="0" xfId="0">
      <alignment horizontal="right"/>
    </xf>
    <xf numFmtId="1" fontId="1" fillId="0" borderId="5" applyAlignment="1" pivotButton="0" quotePrefix="0" xfId="0">
      <alignment horizontal="right"/>
    </xf>
    <xf numFmtId="0" fontId="8" fillId="4" borderId="1" applyAlignment="1" pivotButton="0" quotePrefix="0" xfId="0">
      <alignment horizontal="left"/>
    </xf>
    <xf numFmtId="0" fontId="8" fillId="4" borderId="1" applyAlignment="1" pivotButton="0" quotePrefix="0" xfId="0">
      <alignment horizontal="right"/>
    </xf>
    <xf numFmtId="0" fontId="8" fillId="5" borderId="1" applyAlignment="1" pivotButton="0" quotePrefix="0" xfId="0">
      <alignment horizontal="left"/>
    </xf>
    <xf numFmtId="0" fontId="2" fillId="7" borderId="1" pivotButton="0" quotePrefix="0" xfId="0"/>
    <xf numFmtId="0" fontId="8" fillId="4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1" fillId="7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F1F5F9"/>
          <bgColor rgb="00F1F5F9"/>
        </patternFill>
      </fill>
    </dxf>
    <dxf>
      <fill>
        <patternFill patternType="solid">
          <fgColor rgb="00E2E8F0"/>
          <bgColor rgb="00E2E8F0"/>
        </patternFill>
      </fill>
    </dxf>
    <dxf>
      <font>
        <name val="Segoe UI"/>
        <b val="1"/>
        <color rgb="009F1239"/>
        <sz val="10"/>
      </font>
      <fill>
        <patternFill patternType="solid">
          <fgColor rgb="00FFE4E6"/>
          <bgColor rgb="00FFE4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Roles</t>
        </is>
      </c>
      <c r="B1" s="1" t="inlineStr">
        <is>
          <t>YesNo</t>
        </is>
      </c>
      <c r="C1" s="1" t="inlineStr">
        <is>
          <t>MealCodes</t>
        </is>
      </c>
    </row>
    <row r="2">
      <c r="A2" s="2" t="inlineStr">
        <is>
          <t>superadmin</t>
        </is>
      </c>
      <c r="B2" s="2" t="inlineStr">
        <is>
          <t>Yes</t>
        </is>
      </c>
      <c r="C2" s="2" t="inlineStr">
        <is>
          <t>B</t>
        </is>
      </c>
    </row>
    <row r="3">
      <c r="A3" s="2" t="inlineStr">
        <is>
          <t>manager</t>
        </is>
      </c>
      <c r="B3" s="2" t="inlineStr">
        <is>
          <t>No</t>
        </is>
      </c>
      <c r="C3" s="2" t="inlineStr">
        <is>
          <t>L</t>
        </is>
      </c>
    </row>
    <row r="4">
      <c r="A4" s="2" t="inlineStr">
        <is>
          <t>assistant_manager</t>
        </is>
      </c>
      <c r="C4" s="2" t="inlineStr">
        <is>
          <t>D</t>
        </is>
      </c>
    </row>
    <row r="5">
      <c r="A5" s="2" t="inlineStr">
        <is>
          <t>staff</t>
        </is>
      </c>
      <c r="C5" s="2" t="inlineStr">
        <is>
          <t>GB</t>
        </is>
      </c>
    </row>
    <row r="6">
      <c r="A6" s="2" t="inlineStr">
        <is>
          <t>student</t>
        </is>
      </c>
      <c r="C6" s="2" t="inlineStr">
        <is>
          <t>GL</t>
        </is>
      </c>
    </row>
    <row r="7">
      <c r="C7" s="2" t="inlineStr">
        <is>
          <t>GD</t>
        </is>
      </c>
    </row>
    <row r="8">
      <c r="C8" s="2" t="inlineStr">
        <is>
          <t>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3" t="inlineStr">
        <is>
          <t>eDining Advanced Manual Billing System</t>
        </is>
      </c>
    </row>
    <row r="2">
      <c r="A2" s="4" t="inlineStr">
        <is>
          <t>Dynamic Start/End Date Ledger Template for Muktijoddha Hall</t>
        </is>
      </c>
    </row>
    <row r="3" ht="24" customHeight="1">
      <c r="A3" s="5">
        <f>HYPERLINK("#'Instructions'!A1", "📖 Instructions")</f>
        <v/>
      </c>
      <c r="B3" s="6" t="n"/>
      <c r="C3" s="5">
        <f>HYPERLINK("#'Setup'!A1", "⚙️ Setup")</f>
        <v/>
      </c>
      <c r="D3" s="6" t="n"/>
      <c r="E3" s="5">
        <f>HYPERLINK("#'Dashboard'!A1", "📊 Dashboard")</f>
        <v/>
      </c>
      <c r="F3" s="6" t="n"/>
      <c r="G3" s="5">
        <f>HYPERLINK("#'Meals Grid'!A1", "🍽️ Meals Grid")</f>
        <v/>
      </c>
      <c r="H3" s="6" t="n"/>
      <c r="I3" s="5">
        <f>HYPERLINK("#'Members &amp; Balances'!A1", "👥 Members")</f>
        <v/>
      </c>
      <c r="J3" s="6" t="n"/>
      <c r="K3" s="5">
        <f>HYPERLINK("#'Expenses'!A1", "🛒 Expenses")</f>
        <v/>
      </c>
      <c r="L3" s="6" t="n"/>
      <c r="M3" s="5">
        <f>HYPERLINK("#'Deposits'!A1", "💰 Deposits")</f>
        <v/>
      </c>
      <c r="N3" s="6" t="n"/>
      <c r="O3" s="5">
        <f>HYPERLINK("#'bKash Transactions'!A1", "📱 bKash Audit")</f>
        <v/>
      </c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</row>
    <row r="5">
      <c r="A5" s="7" t="inlineStr">
        <is>
          <t>Overview &amp; System Controls</t>
        </is>
      </c>
    </row>
    <row r="6">
      <c r="A6" s="2" t="inlineStr">
        <is>
          <t>This version is fully dynamic, parameterized, and structured for zero-hardcoding. It features an app-like navigation bar, dropdown data validations to prevent typos, automatic weekend/inactive date formatting, and advanced audit verification tables.</t>
        </is>
      </c>
    </row>
    <row r="8">
      <c r="A8" s="7" t="inlineStr">
        <is>
          <t>Advanced Controls Built-In</t>
        </is>
      </c>
    </row>
    <row r="9">
      <c r="A9" s="1" t="inlineStr">
        <is>
          <t>Navigation Bar</t>
        </is>
      </c>
      <c r="B9" s="2" t="inlineStr">
        <is>
          <t>Click the links on Row 3 of any sheet to quickly navigate between sheets (app-like experience).</t>
        </is>
      </c>
    </row>
    <row r="10">
      <c r="A10" s="1" t="inlineStr">
        <is>
          <t>Dropdown Dropdowns</t>
        </is>
      </c>
      <c r="B10" s="2" t="inlineStr">
        <is>
          <t>Cells in Roles, Free Meal, Meals Grid, and Deposit IDs are wired with dropdowns. You cannot enter invalid values.</t>
        </is>
      </c>
    </row>
    <row r="11">
      <c r="A11" s="1" t="inlineStr">
        <is>
          <t>Dynamic Calendars</t>
        </is>
      </c>
      <c r="B11" s="2" t="inlineStr">
        <is>
          <t>Weekends (Sat/Sun) and Inactive days are highlighted automatically using Excel Conditional Formatting.</t>
        </is>
      </c>
    </row>
    <row r="12">
      <c r="A12" s="1" t="inlineStr">
        <is>
          <t>bKash Audit verification</t>
        </is>
      </c>
      <c r="B12" s="2" t="inlineStr">
        <is>
          <t>SMS transactions are compared with Deposits. If a matching ID has incorrect value, 'Amount Mismatch!' is shown.</t>
        </is>
      </c>
    </row>
    <row r="14">
      <c r="A14" s="7" t="inlineStr">
        <is>
          <t>System Meal Codes Reference</t>
        </is>
      </c>
    </row>
    <row r="16">
      <c r="A16" s="8" t="inlineStr">
        <is>
          <t>Code</t>
        </is>
      </c>
      <c r="B16" s="8" t="inlineStr">
        <is>
          <t>Meal Type</t>
        </is>
      </c>
      <c r="C16" s="8" t="inlineStr">
        <is>
          <t>Calculation Rule</t>
        </is>
      </c>
    </row>
    <row r="17">
      <c r="A17" s="9" t="inlineStr">
        <is>
          <t>B</t>
        </is>
      </c>
      <c r="B17" s="9" t="inlineStr">
        <is>
          <t>Home Student Both Meals</t>
        </is>
      </c>
      <c r="C17" s="9" t="inlineStr">
        <is>
          <t>Counts as 1.0 Meal Unit. Subject to daily manager fees.</t>
        </is>
      </c>
    </row>
    <row r="18">
      <c r="A18" s="9" t="inlineStr">
        <is>
          <t>L</t>
        </is>
      </c>
      <c r="B18" s="9" t="inlineStr">
        <is>
          <t>Home Student Lunch Only</t>
        </is>
      </c>
      <c r="C18" s="9" t="inlineStr">
        <is>
          <t>Counts as Lunch Weight (Setup!C11). Subject to daily manager fees.</t>
        </is>
      </c>
    </row>
    <row r="19">
      <c r="A19" s="9" t="inlineStr">
        <is>
          <t>D</t>
        </is>
      </c>
      <c r="B19" s="9" t="inlineStr">
        <is>
          <t>Home Student Dinner Only</t>
        </is>
      </c>
      <c r="C19" s="9" t="inlineStr">
        <is>
          <t>Counts as Dinner Weight (Setup!C12). Subject to daily manager fees.</t>
        </is>
      </c>
    </row>
    <row r="20">
      <c r="A20" s="9" t="inlineStr">
        <is>
          <t>GB</t>
        </is>
      </c>
      <c r="B20" s="9" t="inlineStr">
        <is>
          <t>Guest Both Meals</t>
        </is>
      </c>
      <c r="C20" s="9" t="inlineStr">
        <is>
          <t>Charged at flat Guest Meal Rate. Exempt from manager fees.</t>
        </is>
      </c>
    </row>
    <row r="21">
      <c r="A21" s="9" t="inlineStr">
        <is>
          <t>GL</t>
        </is>
      </c>
      <c r="B21" s="9" t="inlineStr">
        <is>
          <t>Guest Lunch Only</t>
        </is>
      </c>
      <c r="C21" s="9" t="inlineStr">
        <is>
          <t>Charged at Guest Rate * Lunch Weight. Exempt from manager fees.</t>
        </is>
      </c>
    </row>
    <row r="22">
      <c r="A22" s="9" t="inlineStr">
        <is>
          <t>GD</t>
        </is>
      </c>
      <c r="B22" s="9" t="inlineStr">
        <is>
          <t>Guest Dinner Only</t>
        </is>
      </c>
      <c r="C22" s="9" t="inlineStr">
        <is>
          <t>Charged at Guest Rate * Dinner Weight. Exempt from manager fees.</t>
        </is>
      </c>
    </row>
    <row r="23">
      <c r="A23" s="9" t="inlineStr">
        <is>
          <t>O / Blank</t>
        </is>
      </c>
      <c r="B23" s="9" t="inlineStr">
        <is>
          <t>No Meals (Off)</t>
        </is>
      </c>
      <c r="C23" s="9" t="inlineStr">
        <is>
          <t>No meal units, no charges, no manager fees.</t>
        </is>
      </c>
    </row>
  </sheetData>
  <mergeCells count="8">
    <mergeCell ref="O3:P3"/>
    <mergeCell ref="M3:N3"/>
    <mergeCell ref="C3:D3"/>
    <mergeCell ref="A3:B3"/>
    <mergeCell ref="G3:H3"/>
    <mergeCell ref="E3:F3"/>
    <mergeCell ref="K3:L3"/>
    <mergeCell ref="I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3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  <col width="10" customWidth="1" min="4" max="4"/>
    <col width="13" customWidth="1" min="5" max="5"/>
    <col width="10" customWidth="1" min="6" max="6"/>
    <col width="13" customWidth="1" min="7" max="7"/>
    <col width="10" customWidth="1" min="8" max="8"/>
    <col width="13" customWidth="1" min="9" max="9"/>
    <col width="10" customWidth="1" min="10" max="10"/>
    <col width="13" customWidth="1" min="11" max="11"/>
    <col width="10" customWidth="1" min="12" max="12"/>
    <col width="13" customWidth="1" min="13" max="13"/>
    <col width="10" customWidth="1" min="14" max="14"/>
    <col width="13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>
      <c r="A1" s="10" t="inlineStr">
        <is>
          <t>System Parameter Configuration</t>
        </is>
      </c>
    </row>
    <row r="2">
      <c r="A2" s="4" t="inlineStr">
        <is>
          <t>Define billing period dates and system rates here. All other tabs dynamically read from this.</t>
        </is>
      </c>
    </row>
    <row r="3" ht="24" customHeight="1">
      <c r="A3" s="5">
        <f>HYPERLINK("#'Instructions'!A1", "📖 Instructions")</f>
        <v/>
      </c>
      <c r="B3" s="6" t="n"/>
      <c r="C3" s="5">
        <f>HYPERLINK("#'Setup'!A1", "⚙️ Setup")</f>
        <v/>
      </c>
      <c r="D3" s="6" t="n"/>
      <c r="E3" s="5">
        <f>HYPERLINK("#'Dashboard'!A1", "📊 Dashboard")</f>
        <v/>
      </c>
      <c r="F3" s="6" t="n"/>
      <c r="G3" s="5">
        <f>HYPERLINK("#'Meals Grid'!A1", "🍽️ Meals Grid")</f>
        <v/>
      </c>
      <c r="H3" s="6" t="n"/>
      <c r="I3" s="5">
        <f>HYPERLINK("#'Members &amp; Balances'!A1", "👥 Members")</f>
        <v/>
      </c>
      <c r="J3" s="6" t="n"/>
      <c r="K3" s="5">
        <f>HYPERLINK("#'Expenses'!A1", "🛒 Expenses")</f>
        <v/>
      </c>
      <c r="L3" s="6" t="n"/>
      <c r="M3" s="5">
        <f>HYPERLINK("#'Deposits'!A1", "💰 Deposits")</f>
        <v/>
      </c>
      <c r="N3" s="6" t="n"/>
      <c r="O3" s="5">
        <f>HYPERLINK("#'bKash Transactions'!A1", "📱 bKash Audit")</f>
        <v/>
      </c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</row>
    <row r="4"/>
    <row r="5">
      <c r="B5" s="11" t="inlineStr">
        <is>
          <t>Parameter</t>
        </is>
      </c>
      <c r="C5" s="11" t="inlineStr">
        <is>
          <t>Value</t>
        </is>
      </c>
    </row>
    <row r="6">
      <c r="B6" s="12" t="inlineStr">
        <is>
          <t>Hall Name</t>
        </is>
      </c>
      <c r="C6" s="13" t="inlineStr">
        <is>
          <t>Muktijoddha Hall</t>
        </is>
      </c>
    </row>
    <row r="7">
      <c r="B7" s="12" t="inlineStr">
        <is>
          <t>Cycle Start Date</t>
        </is>
      </c>
      <c r="C7" s="13" t="inlineStr">
        <is>
          <t>2026-06-15</t>
        </is>
      </c>
    </row>
    <row r="8">
      <c r="B8" s="12" t="inlineStr">
        <is>
          <t>Cycle End Date</t>
        </is>
      </c>
      <c r="C8" s="13" t="inlineStr">
        <is>
          <t>2026-06-30</t>
        </is>
      </c>
    </row>
    <row r="9">
      <c r="B9" s="12" t="inlineStr">
        <is>
          <t>Cycle Total Days</t>
        </is>
      </c>
      <c r="C9" s="14">
        <f>C8-C7+1</f>
        <v/>
      </c>
    </row>
    <row r="10">
      <c r="B10" s="12" t="inlineStr">
        <is>
          <t>Guest Meal Rate (BDT)</t>
        </is>
      </c>
      <c r="C10" s="15" t="n">
        <v>120</v>
      </c>
    </row>
    <row r="11">
      <c r="B11" s="12" t="inlineStr">
        <is>
          <t>Manager Daily Fee (BDT)</t>
        </is>
      </c>
      <c r="C11" s="15" t="n">
        <v>5</v>
      </c>
    </row>
    <row r="12">
      <c r="B12" s="12" t="inlineStr">
        <is>
          <t>Lunch Weight Percentage</t>
        </is>
      </c>
      <c r="C12" s="15" t="n">
        <v>0.5</v>
      </c>
    </row>
    <row r="13">
      <c r="B13" s="12" t="inlineStr">
        <is>
          <t>Dinner Weight Percentage</t>
        </is>
      </c>
      <c r="C13" s="15" t="n">
        <v>0.5</v>
      </c>
    </row>
  </sheetData>
  <mergeCells count="8">
    <mergeCell ref="O3:P3"/>
    <mergeCell ref="M3:N3"/>
    <mergeCell ref="C3:D3"/>
    <mergeCell ref="A3:B3"/>
    <mergeCell ref="G3:H3"/>
    <mergeCell ref="E3:F3"/>
    <mergeCell ref="K3:L3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5" customWidth="1" min="3" max="3"/>
    <col width="10" customWidth="1" min="4" max="4"/>
    <col width="13" customWidth="1" min="5" max="5"/>
    <col width="10" customWidth="1" min="6" max="6"/>
    <col width="13" customWidth="1" min="7" max="7"/>
    <col width="10" customWidth="1" min="8" max="8"/>
    <col width="13" customWidth="1" min="9" max="9"/>
    <col width="10" customWidth="1" min="10" max="10"/>
    <col width="13" customWidth="1" min="11" max="11"/>
    <col width="10" customWidth="1" min="12" max="12"/>
    <col width="13" customWidth="1" min="13" max="13"/>
    <col width="10" customWidth="1" min="14" max="14"/>
    <col width="13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/>
    <row r="2">
      <c r="B2" s="10" t="inlineStr">
        <is>
          <t>eDining Monthly Summary Dashboard</t>
        </is>
      </c>
    </row>
    <row r="3" ht="24" customHeight="1">
      <c r="A3" s="5">
        <f>HYPERLINK("#'Instructions'!A1", "📖 Instructions")</f>
        <v/>
      </c>
      <c r="B3" s="6" t="n"/>
      <c r="C3" s="5">
        <f>HYPERLINK("#'Setup'!A1", "⚙️ Setup")</f>
        <v/>
      </c>
      <c r="D3" s="6" t="n"/>
      <c r="E3" s="5">
        <f>HYPERLINK("#'Dashboard'!A1", "📊 Dashboard")</f>
        <v/>
      </c>
      <c r="F3" s="6" t="n"/>
      <c r="G3" s="5">
        <f>HYPERLINK("#'Meals Grid'!A1", "🍽️ Meals Grid")</f>
        <v/>
      </c>
      <c r="H3" s="6" t="n"/>
      <c r="I3" s="5">
        <f>HYPERLINK("#'Members &amp; Balances'!A1", "👥 Members")</f>
        <v/>
      </c>
      <c r="J3" s="6" t="n"/>
      <c r="K3" s="5">
        <f>HYPERLINK("#'Expenses'!A1", "🛒 Expenses")</f>
        <v/>
      </c>
      <c r="L3" s="6" t="n"/>
      <c r="M3" s="5">
        <f>HYPERLINK("#'Deposits'!A1", "💰 Deposits")</f>
        <v/>
      </c>
      <c r="N3" s="6" t="n"/>
      <c r="O3" s="5">
        <f>HYPERLINK("#'bKash Transactions'!A1", "📱 bKash Audit")</f>
        <v/>
      </c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</row>
    <row r="4">
      <c r="B4" s="16" t="inlineStr">
        <is>
          <t>Financial Metric</t>
        </is>
      </c>
      <c r="C4" s="17" t="inlineStr">
        <is>
          <t>Value (Calculated by Formulas)</t>
        </is>
      </c>
    </row>
    <row r="5">
      <c r="B5" s="9" t="inlineStr">
        <is>
          <t>Total System Expenses</t>
        </is>
      </c>
      <c r="C5" s="18">
        <f>SUM(Expenses!$E$7:$E$1000)</f>
        <v/>
      </c>
    </row>
    <row r="6">
      <c r="B6" s="19" t="inlineStr">
        <is>
          <t>Total Guest Contributions</t>
        </is>
      </c>
      <c r="C6" s="20">
        <f>SUM('Members &amp; Balances'!$J$10:$J$1000)</f>
        <v/>
      </c>
    </row>
    <row r="7">
      <c r="B7" s="12" t="inlineStr">
        <is>
          <t>Net System Expenses</t>
        </is>
      </c>
      <c r="C7" s="21">
        <f>MAX(0, C5-C6)</f>
        <v/>
      </c>
    </row>
    <row r="8">
      <c r="B8" s="19" t="inlineStr">
        <is>
          <t>Total Home Meal Units</t>
        </is>
      </c>
      <c r="C8" s="20">
        <f>SUM('Members &amp; Balances'!$H$10:$H$1000)</f>
        <v/>
      </c>
    </row>
    <row r="9">
      <c r="B9" s="22" t="inlineStr">
        <is>
          <t>Calculated Meal Rate</t>
        </is>
      </c>
      <c r="C9" s="23">
        <f>IF(C8&gt;0, C7/C8, 0)</f>
        <v/>
      </c>
    </row>
    <row r="10">
      <c r="B10" s="19" t="inlineStr">
        <is>
          <t>Total Manager Fees Collected</t>
        </is>
      </c>
      <c r="C10" s="20">
        <f>SUM('Members &amp; Balances'!$K$10:$K$1000)</f>
        <v/>
      </c>
    </row>
    <row r="11">
      <c r="B11" s="9" t="inlineStr">
        <is>
          <t>Total Deposits Received</t>
        </is>
      </c>
      <c r="C11" s="18">
        <f>SUM(Deposits!$D$7:$D$1000)</f>
        <v/>
      </c>
    </row>
    <row r="12">
      <c r="B12" s="19" t="inlineStr">
        <is>
          <t>Outstanding Settlement Adjustments</t>
        </is>
      </c>
      <c r="C12" s="20">
        <f>SUM('Members &amp; Balances'!$O$10:$O$1000)-SUM('Members &amp; Balances'!$G$10:$G$1000)</f>
        <v/>
      </c>
    </row>
    <row r="13"/>
    <row r="14"/>
    <row r="15">
      <c r="B15" s="7" t="inlineStr">
        <is>
          <t>System Integrity &amp; Solvency Auditor</t>
        </is>
      </c>
    </row>
    <row r="16">
      <c r="B16" s="9" t="inlineStr">
        <is>
          <t>Solvency Check (Deposits vs Billings)</t>
        </is>
      </c>
      <c r="C16" s="18">
        <f>C11-SUM('Members &amp; Balances'!$N$10:$N$1000)</f>
        <v/>
      </c>
    </row>
    <row r="17">
      <c r="B17" s="9" t="inlineStr">
        <is>
          <t>Unclaimed bKash SMS Count</t>
        </is>
      </c>
      <c r="C17" s="14">
        <f>COUNTIF('bKash Transactions'!$H$7:$H$1000, "Unclaimed")</f>
        <v/>
      </c>
    </row>
    <row r="18">
      <c r="B18" s="9" t="inlineStr">
        <is>
          <t>Amount Mismatch Alerts</t>
        </is>
      </c>
      <c r="C18" s="14">
        <f>COUNTIF('bKash Transactions'!$I$7:$I$1000, "Amount Mismatch!")</f>
        <v/>
      </c>
    </row>
    <row r="19">
      <c r="B19" s="9" t="inlineStr">
        <is>
          <t>System Status Report</t>
        </is>
      </c>
      <c r="C19" s="24">
        <f>IF(C18&gt;0, "🚨 Warning: Mismatch Found!", IF(C16&lt;0, "⚠️ Warning: System Insolvency", "✅ Healthy"))</f>
        <v/>
      </c>
    </row>
  </sheetData>
  <mergeCells count="8">
    <mergeCell ref="O3:P3"/>
    <mergeCell ref="M3:N3"/>
    <mergeCell ref="C3:D3"/>
    <mergeCell ref="A3:B3"/>
    <mergeCell ref="G3:H3"/>
    <mergeCell ref="E3:F3"/>
    <mergeCell ref="K3:L3"/>
    <mergeCell ref="I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</cols>
  <sheetData>
    <row r="1">
      <c r="A1" s="10" t="inlineStr">
        <is>
          <t>Daily Meal Attendance Grid</t>
        </is>
      </c>
    </row>
    <row r="2">
      <c r="A2" s="4" t="inlineStr">
        <is>
          <t>Log meals. Codes: B (Both), L (Lunch), D (Dinner), GB (Guest Both), GL (Guest Lunch), GD (Guest Dinner), O (Off)</t>
        </is>
      </c>
    </row>
    <row r="3" ht="24" customHeight="1">
      <c r="A3" s="5">
        <f>HYPERLINK("#'Instructions'!A1", "📖 Instructions")</f>
        <v/>
      </c>
      <c r="B3" s="6" t="n"/>
      <c r="C3" s="5">
        <f>HYPERLINK("#'Setup'!A1", "⚙️ Setup")</f>
        <v/>
      </c>
      <c r="D3" s="6" t="n"/>
      <c r="E3" s="5">
        <f>HYPERLINK("#'Dashboard'!A1", "📊 Dashboard")</f>
        <v/>
      </c>
      <c r="F3" s="6" t="n"/>
      <c r="G3" s="5">
        <f>HYPERLINK("#'Meals Grid'!A1", "🍽️ Meals Grid")</f>
        <v/>
      </c>
      <c r="H3" s="6" t="n"/>
      <c r="I3" s="5">
        <f>HYPERLINK("#'Members &amp; Balances'!A1", "👥 Members")</f>
        <v/>
      </c>
      <c r="J3" s="6" t="n"/>
      <c r="K3" s="5">
        <f>HYPERLINK("#'Expenses'!A1", "🛒 Expenses")</f>
        <v/>
      </c>
      <c r="L3" s="6" t="n"/>
      <c r="M3" s="5">
        <f>HYPERLINK("#'Deposits'!A1", "💰 Deposits")</f>
        <v/>
      </c>
      <c r="N3" s="6" t="n"/>
      <c r="O3" s="5">
        <f>HYPERLINK("#'bKash Transactions'!A1", "📱 bKash Audit")</f>
        <v/>
      </c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</row>
    <row r="5">
      <c r="A5" s="8" t="inlineStr">
        <is>
          <t>Day of Week</t>
        </is>
      </c>
      <c r="B5" s="8" t="n"/>
      <c r="C5" s="8" t="n"/>
      <c r="D5" s="25">
        <f>IF(D6="","",TEXT(D6,"ddd"))</f>
        <v/>
      </c>
      <c r="E5" s="25">
        <f>IF(E6="","",TEXT(E6,"ddd"))</f>
        <v/>
      </c>
      <c r="F5" s="25">
        <f>IF(F6="","",TEXT(F6,"ddd"))</f>
        <v/>
      </c>
      <c r="G5" s="25">
        <f>IF(G6="","",TEXT(G6,"ddd"))</f>
        <v/>
      </c>
      <c r="H5" s="25">
        <f>IF(H6="","",TEXT(H6,"ddd"))</f>
        <v/>
      </c>
      <c r="I5" s="25">
        <f>IF(I6="","",TEXT(I6,"ddd"))</f>
        <v/>
      </c>
      <c r="J5" s="25">
        <f>IF(J6="","",TEXT(J6,"ddd"))</f>
        <v/>
      </c>
      <c r="K5" s="25">
        <f>IF(K6="","",TEXT(K6,"ddd"))</f>
        <v/>
      </c>
      <c r="L5" s="25">
        <f>IF(L6="","",TEXT(L6,"ddd"))</f>
        <v/>
      </c>
      <c r="M5" s="25">
        <f>IF(M6="","",TEXT(M6,"ddd"))</f>
        <v/>
      </c>
      <c r="N5" s="25">
        <f>IF(N6="","",TEXT(N6,"ddd"))</f>
        <v/>
      </c>
      <c r="O5" s="25">
        <f>IF(O6="","",TEXT(O6,"ddd"))</f>
        <v/>
      </c>
      <c r="P5" s="25">
        <f>IF(P6="","",TEXT(P6,"ddd"))</f>
        <v/>
      </c>
      <c r="Q5" s="25">
        <f>IF(Q6="","",TEXT(Q6,"ddd"))</f>
        <v/>
      </c>
      <c r="R5" s="25">
        <f>IF(R6="","",TEXT(R6,"ddd"))</f>
        <v/>
      </c>
      <c r="S5" s="25">
        <f>IF(S6="","",TEXT(S6,"ddd"))</f>
        <v/>
      </c>
      <c r="T5" s="25">
        <f>IF(T6="","",TEXT(T6,"ddd"))</f>
        <v/>
      </c>
      <c r="U5" s="25">
        <f>IF(U6="","",TEXT(U6,"ddd"))</f>
        <v/>
      </c>
      <c r="V5" s="25">
        <f>IF(V6="","",TEXT(V6,"ddd"))</f>
        <v/>
      </c>
      <c r="W5" s="25">
        <f>IF(W6="","",TEXT(W6,"ddd"))</f>
        <v/>
      </c>
      <c r="X5" s="25">
        <f>IF(X6="","",TEXT(X6,"ddd"))</f>
        <v/>
      </c>
      <c r="Y5" s="25">
        <f>IF(Y6="","",TEXT(Y6,"ddd"))</f>
        <v/>
      </c>
      <c r="Z5" s="25">
        <f>IF(Z6="","",TEXT(Z6,"ddd"))</f>
        <v/>
      </c>
      <c r="AA5" s="25">
        <f>IF(AA6="","",TEXT(AA6,"ddd"))</f>
        <v/>
      </c>
      <c r="AB5" s="25">
        <f>IF(AB6="","",TEXT(AB6,"ddd"))</f>
        <v/>
      </c>
      <c r="AC5" s="25">
        <f>IF(AC6="","",TEXT(AC6,"ddd"))</f>
        <v/>
      </c>
      <c r="AD5" s="25">
        <f>IF(AD6="","",TEXT(AD6,"ddd"))</f>
        <v/>
      </c>
      <c r="AE5" s="25">
        <f>IF(AE6="","",TEXT(AE6,"ddd"))</f>
        <v/>
      </c>
      <c r="AF5" s="25">
        <f>IF(AF6="","",TEXT(AF6,"ddd"))</f>
        <v/>
      </c>
      <c r="AG5" s="25">
        <f>IF(AG6="","",TEXT(AG6,"ddd"))</f>
        <v/>
      </c>
      <c r="AH5" s="25">
        <f>IF(AH6="","",TEXT(AH6,"ddd"))</f>
        <v/>
      </c>
      <c r="AI5" s="25">
        <f>IF(AI6="","",TEXT(AI6,"ddd"))</f>
        <v/>
      </c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</row>
    <row r="6">
      <c r="A6" s="8" t="inlineStr">
        <is>
          <t>Date</t>
        </is>
      </c>
      <c r="B6" s="8" t="n"/>
      <c r="C6" s="8" t="n"/>
      <c r="D6" s="26">
        <f>Setup!$C$7</f>
        <v/>
      </c>
      <c r="E6" s="26">
        <f>IF(D6="","",IF(D6+1&lt;=Setup!$C$8,D6+1,""))</f>
        <v/>
      </c>
      <c r="F6" s="26">
        <f>IF(E6="","",IF(E6+1&lt;=Setup!$C$8,E6+1,""))</f>
        <v/>
      </c>
      <c r="G6" s="26">
        <f>IF(F6="","",IF(F6+1&lt;=Setup!$C$8,F6+1,""))</f>
        <v/>
      </c>
      <c r="H6" s="26">
        <f>IF(G6="","",IF(G6+1&lt;=Setup!$C$8,G6+1,""))</f>
        <v/>
      </c>
      <c r="I6" s="26">
        <f>IF(H6="","",IF(H6+1&lt;=Setup!$C$8,H6+1,""))</f>
        <v/>
      </c>
      <c r="J6" s="26">
        <f>IF(I6="","",IF(I6+1&lt;=Setup!$C$8,I6+1,""))</f>
        <v/>
      </c>
      <c r="K6" s="26">
        <f>IF(J6="","",IF(J6+1&lt;=Setup!$C$8,J6+1,""))</f>
        <v/>
      </c>
      <c r="L6" s="26">
        <f>IF(K6="","",IF(K6+1&lt;=Setup!$C$8,K6+1,""))</f>
        <v/>
      </c>
      <c r="M6" s="26">
        <f>IF(L6="","",IF(L6+1&lt;=Setup!$C$8,L6+1,""))</f>
        <v/>
      </c>
      <c r="N6" s="26">
        <f>IF(M6="","",IF(M6+1&lt;=Setup!$C$8,M6+1,""))</f>
        <v/>
      </c>
      <c r="O6" s="26">
        <f>IF(N6="","",IF(N6+1&lt;=Setup!$C$8,N6+1,""))</f>
        <v/>
      </c>
      <c r="P6" s="26">
        <f>IF(O6="","",IF(O6+1&lt;=Setup!$C$8,O6+1,""))</f>
        <v/>
      </c>
      <c r="Q6" s="26">
        <f>IF(P6="","",IF(P6+1&lt;=Setup!$C$8,P6+1,""))</f>
        <v/>
      </c>
      <c r="R6" s="26">
        <f>IF(Q6="","",IF(Q6+1&lt;=Setup!$C$8,Q6+1,""))</f>
        <v/>
      </c>
      <c r="S6" s="26">
        <f>IF(R6="","",IF(R6+1&lt;=Setup!$C$8,R6+1,""))</f>
        <v/>
      </c>
      <c r="T6" s="26">
        <f>IF(S6="","",IF(S6+1&lt;=Setup!$C$8,S6+1,""))</f>
        <v/>
      </c>
      <c r="U6" s="26">
        <f>IF(T6="","",IF(T6+1&lt;=Setup!$C$8,T6+1,""))</f>
        <v/>
      </c>
      <c r="V6" s="26">
        <f>IF(U6="","",IF(U6+1&lt;=Setup!$C$8,U6+1,""))</f>
        <v/>
      </c>
      <c r="W6" s="26">
        <f>IF(V6="","",IF(V6+1&lt;=Setup!$C$8,V6+1,""))</f>
        <v/>
      </c>
      <c r="X6" s="26">
        <f>IF(W6="","",IF(W6+1&lt;=Setup!$C$8,W6+1,""))</f>
        <v/>
      </c>
      <c r="Y6" s="26">
        <f>IF(X6="","",IF(X6+1&lt;=Setup!$C$8,X6+1,""))</f>
        <v/>
      </c>
      <c r="Z6" s="26">
        <f>IF(Y6="","",IF(Y6+1&lt;=Setup!$C$8,Y6+1,""))</f>
        <v/>
      </c>
      <c r="AA6" s="26">
        <f>IF(Z6="","",IF(Z6+1&lt;=Setup!$C$8,Z6+1,""))</f>
        <v/>
      </c>
      <c r="AB6" s="26">
        <f>IF(AA6="","",IF(AA6+1&lt;=Setup!$C$8,AA6+1,""))</f>
        <v/>
      </c>
      <c r="AC6" s="26">
        <f>IF(AB6="","",IF(AB6+1&lt;=Setup!$C$8,AB6+1,""))</f>
        <v/>
      </c>
      <c r="AD6" s="26">
        <f>IF(AC6="","",IF(AC6+1&lt;=Setup!$C$8,AC6+1,""))</f>
        <v/>
      </c>
      <c r="AE6" s="26">
        <f>IF(AD6="","",IF(AD6+1&lt;=Setup!$C$8,AD6+1,""))</f>
        <v/>
      </c>
      <c r="AF6" s="26">
        <f>IF(AE6="","",IF(AE6+1&lt;=Setup!$C$8,AE6+1,""))</f>
        <v/>
      </c>
      <c r="AG6" s="26">
        <f>IF(AF6="","",IF(AF6+1&lt;=Setup!$C$8,AF6+1,""))</f>
        <v/>
      </c>
      <c r="AH6" s="26">
        <f>IF(AG6="","",IF(AG6+1&lt;=Setup!$C$8,AG6+1,""))</f>
        <v/>
      </c>
      <c r="AI6" s="26">
        <f>IF(AH6="","",IF(AH6+1&lt;=Setup!$C$8,AH6+1,""))</f>
        <v/>
      </c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</row>
    <row r="7">
      <c r="A7" s="27" t="inlineStr">
        <is>
          <t>Member ID</t>
        </is>
      </c>
      <c r="B7" s="27" t="inlineStr">
        <is>
          <t>Name</t>
        </is>
      </c>
      <c r="C7" s="27" t="inlineStr">
        <is>
          <t>Role</t>
        </is>
      </c>
      <c r="D7" s="28" t="inlineStr">
        <is>
          <t>Day 1</t>
        </is>
      </c>
      <c r="E7" s="28" t="inlineStr">
        <is>
          <t>Day 2</t>
        </is>
      </c>
      <c r="F7" s="28" t="inlineStr">
        <is>
          <t>Day 3</t>
        </is>
      </c>
      <c r="G7" s="28" t="inlineStr">
        <is>
          <t>Day 4</t>
        </is>
      </c>
      <c r="H7" s="28" t="inlineStr">
        <is>
          <t>Day 5</t>
        </is>
      </c>
      <c r="I7" s="28" t="inlineStr">
        <is>
          <t>Day 6</t>
        </is>
      </c>
      <c r="J7" s="28" t="inlineStr">
        <is>
          <t>Day 7</t>
        </is>
      </c>
      <c r="K7" s="28" t="inlineStr">
        <is>
          <t>Day 8</t>
        </is>
      </c>
      <c r="L7" s="28" t="inlineStr">
        <is>
          <t>Day 9</t>
        </is>
      </c>
      <c r="M7" s="28" t="inlineStr">
        <is>
          <t>Day 10</t>
        </is>
      </c>
      <c r="N7" s="28" t="inlineStr">
        <is>
          <t>Day 11</t>
        </is>
      </c>
      <c r="O7" s="28" t="inlineStr">
        <is>
          <t>Day 12</t>
        </is>
      </c>
      <c r="P7" s="28" t="inlineStr">
        <is>
          <t>Day 13</t>
        </is>
      </c>
      <c r="Q7" s="28" t="inlineStr">
        <is>
          <t>Day 14</t>
        </is>
      </c>
      <c r="R7" s="28" t="inlineStr">
        <is>
          <t>Day 15</t>
        </is>
      </c>
      <c r="S7" s="28" t="inlineStr">
        <is>
          <t>Day 16</t>
        </is>
      </c>
      <c r="T7" s="28" t="inlineStr">
        <is>
          <t>Day 17</t>
        </is>
      </c>
      <c r="U7" s="28" t="inlineStr">
        <is>
          <t>Day 18</t>
        </is>
      </c>
      <c r="V7" s="28" t="inlineStr">
        <is>
          <t>Day 19</t>
        </is>
      </c>
      <c r="W7" s="28" t="inlineStr">
        <is>
          <t>Day 20</t>
        </is>
      </c>
      <c r="X7" s="28" t="inlineStr">
        <is>
          <t>Day 21</t>
        </is>
      </c>
      <c r="Y7" s="28" t="inlineStr">
        <is>
          <t>Day 22</t>
        </is>
      </c>
      <c r="Z7" s="28" t="inlineStr">
        <is>
          <t>Day 23</t>
        </is>
      </c>
      <c r="AA7" s="28" t="inlineStr">
        <is>
          <t>Day 24</t>
        </is>
      </c>
      <c r="AB7" s="28" t="inlineStr">
        <is>
          <t>Day 25</t>
        </is>
      </c>
      <c r="AC7" s="28" t="inlineStr">
        <is>
          <t>Day 26</t>
        </is>
      </c>
      <c r="AD7" s="28" t="inlineStr">
        <is>
          <t>Day 27</t>
        </is>
      </c>
      <c r="AE7" s="28" t="inlineStr">
        <is>
          <t>Day 28</t>
        </is>
      </c>
      <c r="AF7" s="28" t="inlineStr">
        <is>
          <t>Day 29</t>
        </is>
      </c>
      <c r="AG7" s="28" t="inlineStr">
        <is>
          <t>Day 30</t>
        </is>
      </c>
      <c r="AH7" s="28" t="inlineStr">
        <is>
          <t>Day 31</t>
        </is>
      </c>
      <c r="AI7" s="28" t="inlineStr">
        <is>
          <t>Day 32</t>
        </is>
      </c>
      <c r="AJ7" s="29" t="inlineStr">
        <is>
          <t>Lunch (L)</t>
        </is>
      </c>
      <c r="AK7" s="29" t="inlineStr">
        <is>
          <t>Dinner (D)</t>
        </is>
      </c>
      <c r="AL7" s="29" t="inlineStr">
        <is>
          <t>Both (B)</t>
        </is>
      </c>
      <c r="AM7" s="29" t="inlineStr">
        <is>
          <t>Guest Lunch (GL)</t>
        </is>
      </c>
      <c r="AN7" s="29" t="inlineStr">
        <is>
          <t>Guest Dinner (GD)</t>
        </is>
      </c>
      <c r="AO7" s="29" t="inlineStr">
        <is>
          <t>Guest Both (GB)</t>
        </is>
      </c>
      <c r="AP7" s="29" t="inlineStr">
        <is>
          <t>Home Meal Units</t>
        </is>
      </c>
      <c r="AQ7" s="29" t="inlineStr">
        <is>
          <t>Active Days</t>
        </is>
      </c>
      <c r="AR7" s="29" t="inlineStr">
        <is>
          <t>Guest Meal Units</t>
        </is>
      </c>
    </row>
    <row r="8">
      <c r="A8" s="30" t="n">
        <v>1</v>
      </c>
      <c r="B8" s="9" t="inlineStr">
        <is>
          <t>System Super Admin</t>
        </is>
      </c>
      <c r="C8" s="31" t="inlineStr">
        <is>
          <t>superadmin</t>
        </is>
      </c>
      <c r="D8" s="32" t="inlineStr"/>
      <c r="E8" s="32" t="inlineStr"/>
      <c r="F8" s="32" t="inlineStr"/>
      <c r="G8" s="32" t="inlineStr"/>
      <c r="H8" s="32" t="inlineStr"/>
      <c r="I8" s="32" t="inlineStr"/>
      <c r="J8" s="32" t="inlineStr"/>
      <c r="K8" s="32" t="inlineStr"/>
      <c r="L8" s="32" t="inlineStr"/>
      <c r="M8" s="32" t="inlineStr"/>
      <c r="N8" s="32" t="inlineStr"/>
      <c r="O8" s="32" t="inlineStr"/>
      <c r="P8" s="32" t="inlineStr"/>
      <c r="Q8" s="32" t="inlineStr"/>
      <c r="R8" s="32" t="inlineStr"/>
      <c r="S8" s="32" t="inlineStr"/>
      <c r="T8" s="32" t="inlineStr"/>
      <c r="U8" s="32" t="inlineStr"/>
      <c r="V8" s="32" t="inlineStr"/>
      <c r="W8" s="32" t="inlineStr"/>
      <c r="X8" s="32" t="inlineStr"/>
      <c r="Y8" s="32" t="inlineStr"/>
      <c r="Z8" s="32" t="inlineStr"/>
      <c r="AA8" s="32" t="inlineStr"/>
      <c r="AB8" s="32" t="inlineStr"/>
      <c r="AC8" s="32" t="inlineStr"/>
      <c r="AD8" s="32" t="inlineStr"/>
      <c r="AE8" s="32" t="inlineStr"/>
      <c r="AF8" s="32" t="inlineStr"/>
      <c r="AG8" s="32" t="inlineStr"/>
      <c r="AH8" s="32" t="inlineStr"/>
      <c r="AI8" s="32" t="inlineStr"/>
      <c r="AJ8" s="33">
        <f>COUNTIF(D8:AI8, "L")</f>
        <v/>
      </c>
      <c r="AK8" s="33">
        <f>COUNTIF(D8:AI8, "D")</f>
        <v/>
      </c>
      <c r="AL8" s="33">
        <f>COUNTIF(D8:AI8, "B")</f>
        <v/>
      </c>
      <c r="AM8" s="33">
        <f>COUNTIF(D8:AI8, "GL")</f>
        <v/>
      </c>
      <c r="AN8" s="33">
        <f>COUNTIF(D8:AI8, "GD")</f>
        <v/>
      </c>
      <c r="AO8" s="33">
        <f>COUNTIF(D8:AI8, "GB")</f>
        <v/>
      </c>
      <c r="AP8" s="34">
        <f>AL8+(AJ8*Setup!$C$11)+(AK8*Setup!$C$12)</f>
        <v/>
      </c>
      <c r="AQ8" s="35">
        <f>COUNTIF(D8:AI8, "L")+COUNTIF(D8:AI8, "D")+COUNTIF(D8:AI8, "B")</f>
        <v/>
      </c>
      <c r="AR8" s="34">
        <f>AO8+(AM8*Setup!$C$11)+(AN8*Setup!$C$12)</f>
        <v/>
      </c>
    </row>
    <row r="9">
      <c r="A9" s="30" t="n">
        <v>4</v>
      </c>
      <c r="B9" s="9" t="inlineStr">
        <is>
          <t>Kamrul Islam</t>
        </is>
      </c>
      <c r="C9" s="31" t="inlineStr">
        <is>
          <t>student</t>
        </is>
      </c>
      <c r="D9" s="32" t="inlineStr"/>
      <c r="E9" s="32" t="inlineStr">
        <is>
          <t>B</t>
        </is>
      </c>
      <c r="F9" s="32" t="inlineStr">
        <is>
          <t>B</t>
        </is>
      </c>
      <c r="G9" s="32" t="inlineStr">
        <is>
          <t>B</t>
        </is>
      </c>
      <c r="H9" s="32" t="inlineStr">
        <is>
          <t>B</t>
        </is>
      </c>
      <c r="I9" s="32" t="inlineStr">
        <is>
          <t>B</t>
        </is>
      </c>
      <c r="J9" s="32" t="inlineStr">
        <is>
          <t>B</t>
        </is>
      </c>
      <c r="K9" s="32" t="inlineStr">
        <is>
          <t>B</t>
        </is>
      </c>
      <c r="L9" s="32" t="inlineStr">
        <is>
          <t>B</t>
        </is>
      </c>
      <c r="M9" s="32" t="inlineStr">
        <is>
          <t>B</t>
        </is>
      </c>
      <c r="N9" s="32" t="inlineStr">
        <is>
          <t>B</t>
        </is>
      </c>
      <c r="O9" s="32" t="inlineStr">
        <is>
          <t>B</t>
        </is>
      </c>
      <c r="P9" s="32" t="inlineStr">
        <is>
          <t>B</t>
        </is>
      </c>
      <c r="Q9" s="32" t="inlineStr">
        <is>
          <t>B</t>
        </is>
      </c>
      <c r="R9" s="32" t="inlineStr">
        <is>
          <t>B</t>
        </is>
      </c>
      <c r="S9" s="32" t="inlineStr">
        <is>
          <t>B</t>
        </is>
      </c>
      <c r="T9" s="32" t="inlineStr"/>
      <c r="U9" s="32" t="inlineStr"/>
      <c r="V9" s="32" t="inlineStr"/>
      <c r="W9" s="32" t="inlineStr"/>
      <c r="X9" s="32" t="inlineStr"/>
      <c r="Y9" s="32" t="inlineStr"/>
      <c r="Z9" s="32" t="inlineStr"/>
      <c r="AA9" s="32" t="inlineStr"/>
      <c r="AB9" s="32" t="inlineStr"/>
      <c r="AC9" s="32" t="inlineStr"/>
      <c r="AD9" s="32" t="inlineStr"/>
      <c r="AE9" s="32" t="inlineStr"/>
      <c r="AF9" s="32" t="inlineStr"/>
      <c r="AG9" s="32" t="inlineStr"/>
      <c r="AH9" s="32" t="inlineStr"/>
      <c r="AI9" s="32" t="inlineStr"/>
      <c r="AJ9" s="36">
        <f>COUNTIF(D9:AI9, "L")</f>
        <v/>
      </c>
      <c r="AK9" s="36">
        <f>COUNTIF(D9:AI9, "D")</f>
        <v/>
      </c>
      <c r="AL9" s="36">
        <f>COUNTIF(D9:AI9, "B")</f>
        <v/>
      </c>
      <c r="AM9" s="36">
        <f>COUNTIF(D9:AI9, "GL")</f>
        <v/>
      </c>
      <c r="AN9" s="36">
        <f>COUNTIF(D9:AI9, "GD")</f>
        <v/>
      </c>
      <c r="AO9" s="36">
        <f>COUNTIF(D9:AI9, "GB")</f>
        <v/>
      </c>
      <c r="AP9" s="37">
        <f>AL9+(AJ9*Setup!$C$11)+(AK9*Setup!$C$12)</f>
        <v/>
      </c>
      <c r="AQ9" s="38">
        <f>COUNTIF(D9:AI9, "L")+COUNTIF(D9:AI9, "D")+COUNTIF(D9:AI9, "B")</f>
        <v/>
      </c>
      <c r="AR9" s="37">
        <f>AO9+(AM9*Setup!$C$11)+(AN9*Setup!$C$12)</f>
        <v/>
      </c>
    </row>
    <row r="10">
      <c r="A10" s="30" t="n">
        <v>5</v>
      </c>
      <c r="B10" s="9" t="inlineStr">
        <is>
          <t>Rakib Hasan</t>
        </is>
      </c>
      <c r="C10" s="31" t="inlineStr">
        <is>
          <t>student</t>
        </is>
      </c>
      <c r="D10" s="32" t="inlineStr"/>
      <c r="E10" s="32" t="inlineStr"/>
      <c r="F10" s="32" t="inlineStr"/>
      <c r="G10" s="32" t="inlineStr"/>
      <c r="H10" s="32" t="inlineStr"/>
      <c r="I10" s="32" t="inlineStr"/>
      <c r="J10" s="32" t="inlineStr"/>
      <c r="K10" s="32" t="inlineStr"/>
      <c r="L10" s="32" t="inlineStr"/>
      <c r="M10" s="32" t="inlineStr"/>
      <c r="N10" s="32" t="inlineStr"/>
      <c r="O10" s="32" t="inlineStr"/>
      <c r="P10" s="32" t="inlineStr"/>
      <c r="Q10" s="32" t="inlineStr"/>
      <c r="R10" s="32" t="inlineStr"/>
      <c r="S10" s="32" t="inlineStr"/>
      <c r="T10" s="32" t="inlineStr"/>
      <c r="U10" s="32" t="inlineStr"/>
      <c r="V10" s="32" t="inlineStr"/>
      <c r="W10" s="32" t="inlineStr"/>
      <c r="X10" s="32" t="inlineStr"/>
      <c r="Y10" s="32" t="inlineStr"/>
      <c r="Z10" s="32" t="inlineStr"/>
      <c r="AA10" s="32" t="inlineStr"/>
      <c r="AB10" s="32" t="inlineStr"/>
      <c r="AC10" s="32" t="inlineStr"/>
      <c r="AD10" s="32" t="inlineStr"/>
      <c r="AE10" s="32" t="inlineStr"/>
      <c r="AF10" s="32" t="inlineStr"/>
      <c r="AG10" s="32" t="inlineStr"/>
      <c r="AH10" s="32" t="inlineStr"/>
      <c r="AI10" s="32" t="inlineStr"/>
      <c r="AJ10" s="33">
        <f>COUNTIF(D10:AI10, "L")</f>
        <v/>
      </c>
      <c r="AK10" s="33">
        <f>COUNTIF(D10:AI10, "D")</f>
        <v/>
      </c>
      <c r="AL10" s="33">
        <f>COUNTIF(D10:AI10, "B")</f>
        <v/>
      </c>
      <c r="AM10" s="33">
        <f>COUNTIF(D10:AI10, "GL")</f>
        <v/>
      </c>
      <c r="AN10" s="33">
        <f>COUNTIF(D10:AI10, "GD")</f>
        <v/>
      </c>
      <c r="AO10" s="33">
        <f>COUNTIF(D10:AI10, "GB")</f>
        <v/>
      </c>
      <c r="AP10" s="34">
        <f>AL10+(AJ10*Setup!$C$11)+(AK10*Setup!$C$12)</f>
        <v/>
      </c>
      <c r="AQ10" s="35">
        <f>COUNTIF(D10:AI10, "L")+COUNTIF(D10:AI10, "D")+COUNTIF(D10:AI10, "B")</f>
        <v/>
      </c>
      <c r="AR10" s="34">
        <f>AO10+(AM10*Setup!$C$11)+(AN10*Setup!$C$12)</f>
        <v/>
      </c>
    </row>
    <row r="11">
      <c r="A11" s="30" t="n">
        <v>2</v>
      </c>
      <c r="B11" s="9" t="inlineStr">
        <is>
          <t>Sabbir Ahmed (Mukti Mgr)</t>
        </is>
      </c>
      <c r="C11" s="31" t="inlineStr">
        <is>
          <t>manager</t>
        </is>
      </c>
      <c r="D11" s="32" t="inlineStr"/>
      <c r="E11" s="32" t="inlineStr">
        <is>
          <t>B</t>
        </is>
      </c>
      <c r="F11" s="32" t="inlineStr">
        <is>
          <t>B</t>
        </is>
      </c>
      <c r="G11" s="32" t="inlineStr">
        <is>
          <t>B</t>
        </is>
      </c>
      <c r="H11" s="32" t="inlineStr">
        <is>
          <t>B</t>
        </is>
      </c>
      <c r="I11" s="32" t="inlineStr">
        <is>
          <t>B</t>
        </is>
      </c>
      <c r="J11" s="32" t="inlineStr">
        <is>
          <t>B</t>
        </is>
      </c>
      <c r="K11" s="32" t="inlineStr">
        <is>
          <t>B</t>
        </is>
      </c>
      <c r="L11" s="32" t="inlineStr">
        <is>
          <t>B</t>
        </is>
      </c>
      <c r="M11" s="32" t="inlineStr">
        <is>
          <t>B</t>
        </is>
      </c>
      <c r="N11" s="32" t="inlineStr">
        <is>
          <t>B</t>
        </is>
      </c>
      <c r="O11" s="32" t="inlineStr">
        <is>
          <t>B</t>
        </is>
      </c>
      <c r="P11" s="32" t="inlineStr">
        <is>
          <t>B</t>
        </is>
      </c>
      <c r="Q11" s="32" t="inlineStr">
        <is>
          <t>B</t>
        </is>
      </c>
      <c r="R11" s="32" t="inlineStr">
        <is>
          <t>B</t>
        </is>
      </c>
      <c r="S11" s="32" t="inlineStr">
        <is>
          <t>B</t>
        </is>
      </c>
      <c r="T11" s="32" t="inlineStr"/>
      <c r="U11" s="32" t="inlineStr"/>
      <c r="V11" s="32" t="inlineStr"/>
      <c r="W11" s="32" t="inlineStr"/>
      <c r="X11" s="32" t="inlineStr"/>
      <c r="Y11" s="32" t="inlineStr"/>
      <c r="Z11" s="32" t="inlineStr"/>
      <c r="AA11" s="32" t="inlineStr"/>
      <c r="AB11" s="32" t="inlineStr"/>
      <c r="AC11" s="32" t="inlineStr"/>
      <c r="AD11" s="32" t="inlineStr"/>
      <c r="AE11" s="32" t="inlineStr"/>
      <c r="AF11" s="32" t="inlineStr"/>
      <c r="AG11" s="32" t="inlineStr"/>
      <c r="AH11" s="32" t="inlineStr"/>
      <c r="AI11" s="32" t="inlineStr"/>
      <c r="AJ11" s="36">
        <f>COUNTIF(D11:AI11, "L")</f>
        <v/>
      </c>
      <c r="AK11" s="36">
        <f>COUNTIF(D11:AI11, "D")</f>
        <v/>
      </c>
      <c r="AL11" s="36">
        <f>COUNTIF(D11:AI11, "B")</f>
        <v/>
      </c>
      <c r="AM11" s="36">
        <f>COUNTIF(D11:AI11, "GL")</f>
        <v/>
      </c>
      <c r="AN11" s="36">
        <f>COUNTIF(D11:AI11, "GD")</f>
        <v/>
      </c>
      <c r="AO11" s="36">
        <f>COUNTIF(D11:AI11, "GB")</f>
        <v/>
      </c>
      <c r="AP11" s="37">
        <f>AL11+(AJ11*Setup!$C$11)+(AK11*Setup!$C$12)</f>
        <v/>
      </c>
      <c r="AQ11" s="38">
        <f>COUNTIF(D11:AI11, "L")+COUNTIF(D11:AI11, "D")+COUNTIF(D11:AI11, "B")</f>
        <v/>
      </c>
      <c r="AR11" s="37">
        <f>AO11+(AM11*Setup!$C$11)+(AN11*Setup!$C$12)</f>
        <v/>
      </c>
    </row>
    <row r="12">
      <c r="A12" s="30" t="n">
        <v>7</v>
      </c>
      <c r="B12" s="9" t="inlineStr">
        <is>
          <t>khoka moni</t>
        </is>
      </c>
      <c r="C12" s="31" t="inlineStr">
        <is>
          <t>manager</t>
        </is>
      </c>
      <c r="D12" s="32" t="inlineStr"/>
      <c r="E12" s="32" t="inlineStr">
        <is>
          <t>B</t>
        </is>
      </c>
      <c r="F12" s="32" t="inlineStr">
        <is>
          <t>B</t>
        </is>
      </c>
      <c r="G12" s="32" t="inlineStr">
        <is>
          <t>B</t>
        </is>
      </c>
      <c r="H12" s="32" t="inlineStr">
        <is>
          <t>B</t>
        </is>
      </c>
      <c r="I12" s="32" t="inlineStr">
        <is>
          <t>B</t>
        </is>
      </c>
      <c r="J12" s="32" t="inlineStr">
        <is>
          <t>B</t>
        </is>
      </c>
      <c r="K12" s="32" t="inlineStr">
        <is>
          <t>B</t>
        </is>
      </c>
      <c r="L12" s="32" t="inlineStr">
        <is>
          <t>B</t>
        </is>
      </c>
      <c r="M12" s="32" t="inlineStr">
        <is>
          <t>B</t>
        </is>
      </c>
      <c r="N12" s="32" t="inlineStr">
        <is>
          <t>B</t>
        </is>
      </c>
      <c r="O12" s="32" t="inlineStr">
        <is>
          <t>B</t>
        </is>
      </c>
      <c r="P12" s="32" t="inlineStr">
        <is>
          <t>B</t>
        </is>
      </c>
      <c r="Q12" s="32" t="inlineStr">
        <is>
          <t>B</t>
        </is>
      </c>
      <c r="R12" s="32" t="inlineStr">
        <is>
          <t>B</t>
        </is>
      </c>
      <c r="S12" s="32" t="inlineStr">
        <is>
          <t>B</t>
        </is>
      </c>
      <c r="T12" s="32" t="inlineStr"/>
      <c r="U12" s="32" t="inlineStr"/>
      <c r="V12" s="32" t="inlineStr"/>
      <c r="W12" s="32" t="inlineStr"/>
      <c r="X12" s="32" t="inlineStr"/>
      <c r="Y12" s="32" t="inlineStr"/>
      <c r="Z12" s="32" t="inlineStr"/>
      <c r="AA12" s="32" t="inlineStr"/>
      <c r="AB12" s="32" t="inlineStr"/>
      <c r="AC12" s="32" t="inlineStr"/>
      <c r="AD12" s="32" t="inlineStr"/>
      <c r="AE12" s="32" t="inlineStr"/>
      <c r="AF12" s="32" t="inlineStr"/>
      <c r="AG12" s="32" t="inlineStr"/>
      <c r="AH12" s="32" t="inlineStr"/>
      <c r="AI12" s="32" t="inlineStr"/>
      <c r="AJ12" s="33">
        <f>COUNTIF(D12:AI12, "L")</f>
        <v/>
      </c>
      <c r="AK12" s="33">
        <f>COUNTIF(D12:AI12, "D")</f>
        <v/>
      </c>
      <c r="AL12" s="33">
        <f>COUNTIF(D12:AI12, "B")</f>
        <v/>
      </c>
      <c r="AM12" s="33">
        <f>COUNTIF(D12:AI12, "GL")</f>
        <v/>
      </c>
      <c r="AN12" s="33">
        <f>COUNTIF(D12:AI12, "GD")</f>
        <v/>
      </c>
      <c r="AO12" s="33">
        <f>COUNTIF(D12:AI12, "GB")</f>
        <v/>
      </c>
      <c r="AP12" s="34">
        <f>AL12+(AJ12*Setup!$C$11)+(AK12*Setup!$C$12)</f>
        <v/>
      </c>
      <c r="AQ12" s="35">
        <f>COUNTIF(D12:AI12, "L")+COUNTIF(D12:AI12, "D")+COUNTIF(D12:AI12, "B")</f>
        <v/>
      </c>
      <c r="AR12" s="34">
        <f>AO12+(AM12*Setup!$C$11)+(AN12*Setup!$C$12)</f>
        <v/>
      </c>
    </row>
  </sheetData>
  <mergeCells count="8">
    <mergeCell ref="O3:P3"/>
    <mergeCell ref="M3:N3"/>
    <mergeCell ref="C3:D3"/>
    <mergeCell ref="A3:B3"/>
    <mergeCell ref="G3:H3"/>
    <mergeCell ref="E3:F3"/>
    <mergeCell ref="K3:L3"/>
    <mergeCell ref="I3:J3"/>
  </mergeCells>
  <conditionalFormatting sqref="D5:AI200">
    <cfRule type="expression" priority="1" dxfId="0" stopIfTrue="0">
      <formula>OR(D$5="Sat",D$5="Sun")</formula>
    </cfRule>
    <cfRule type="expression" priority="2" dxfId="1" stopIfTrue="1">
      <formula>D$6=""</formula>
    </cfRule>
  </conditionalFormatting>
  <dataValidations count="1">
    <dataValidation sqref="D8:AI113" showDropDown="0" showInputMessage="0" showErrorMessage="0" allowBlank="1" type="list">
      <formula1>Lists!$C$2:$C$8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5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13" customWidth="1" min="3" max="3"/>
    <col width="14" customWidth="1" min="4" max="4"/>
    <col width="13" customWidth="1" min="5" max="5"/>
    <col width="13" customWidth="1" min="6" max="6"/>
    <col width="24" customWidth="1" min="7" max="7"/>
    <col width="18" customWidth="1" min="8" max="8"/>
    <col width="14" customWidth="1" min="9" max="9"/>
    <col width="24" customWidth="1" min="10" max="10"/>
    <col width="21" customWidth="1" min="11" max="11"/>
    <col width="18" customWidth="1" min="12" max="12"/>
    <col width="23" customWidth="1" min="13" max="13"/>
    <col width="19" customWidth="1" min="14" max="14"/>
    <col width="24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>
      <c r="A1" s="10" t="inlineStr">
        <is>
          <t>Member Ledger &amp; Balance Sheet</t>
        </is>
      </c>
    </row>
    <row r="2">
      <c r="A2" s="4" t="inlineStr">
        <is>
          <t>Active Ledger for Muktijoddha Hall - Cycle (2026-06-15 to 2026-06-30)</t>
        </is>
      </c>
    </row>
    <row r="3" ht="24" customHeight="1">
      <c r="A3" s="5">
        <f>HYPERLINK("#'Instructions'!A1", "📖 Instructions")</f>
        <v/>
      </c>
      <c r="B3" s="6" t="n"/>
      <c r="C3" s="5">
        <f>HYPERLINK("#'Setup'!A1", "⚙️ Setup")</f>
        <v/>
      </c>
      <c r="D3" s="6" t="n"/>
      <c r="E3" s="5">
        <f>HYPERLINK("#'Dashboard'!A1", "📊 Dashboard")</f>
        <v/>
      </c>
      <c r="F3" s="6" t="n"/>
      <c r="G3" s="5">
        <f>HYPERLINK("#'Meals Grid'!A1", "🍽️ Meals Grid")</f>
        <v/>
      </c>
      <c r="H3" s="6" t="n"/>
      <c r="I3" s="5">
        <f>HYPERLINK("#'Members &amp; Balances'!A1", "👥 Members")</f>
        <v/>
      </c>
      <c r="J3" s="6" t="n"/>
      <c r="K3" s="5">
        <f>HYPERLINK("#'Expenses'!A1", "🛒 Expenses")</f>
        <v/>
      </c>
      <c r="L3" s="6" t="n"/>
      <c r="M3" s="5">
        <f>HYPERLINK("#'Deposits'!A1", "💰 Deposits")</f>
        <v/>
      </c>
      <c r="N3" s="6" t="n"/>
      <c r="O3" s="5">
        <f>HYPERLINK("#'bKash Transactions'!A1", "📱 bKash Audit")</f>
        <v/>
      </c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</row>
    <row r="4">
      <c r="A4" s="39" t="inlineStr">
        <is>
          <t>Note: Columns in Teal (H to O) contain dynamic EXCEL FORMULAS. Do not manually edit them.</t>
        </is>
      </c>
    </row>
    <row r="5"/>
    <row r="6"/>
    <row r="7"/>
    <row r="8"/>
    <row r="9" ht="28" customHeight="1">
      <c r="A9" s="40" t="inlineStr">
        <is>
          <t>Member ID</t>
        </is>
      </c>
      <c r="B9" s="40" t="inlineStr">
        <is>
          <t>Name</t>
        </is>
      </c>
      <c r="C9" s="40" t="inlineStr">
        <is>
          <t>Room No</t>
        </is>
      </c>
      <c r="D9" s="40" t="inlineStr">
        <is>
          <t>Phone No</t>
        </is>
      </c>
      <c r="E9" s="40" t="inlineStr">
        <is>
          <t>Role</t>
        </is>
      </c>
      <c r="F9" s="40" t="inlineStr">
        <is>
          <t>Free Meal?</t>
        </is>
      </c>
      <c r="G9" s="41" t="inlineStr">
        <is>
          <t>Opening Balance (BDT)</t>
        </is>
      </c>
      <c r="H9" s="42" t="inlineStr">
        <is>
          <t>Home Meal Units</t>
        </is>
      </c>
      <c r="I9" s="42" t="inlineStr">
        <is>
          <t>Active Days</t>
        </is>
      </c>
      <c r="J9" s="42" t="inlineStr">
        <is>
          <t>Guest Meal Cost (BDT)</t>
        </is>
      </c>
      <c r="K9" s="42" t="inlineStr">
        <is>
          <t>Manager Fees (BDT)</t>
        </is>
      </c>
      <c r="L9" s="42" t="inlineStr">
        <is>
          <t>Meal Cost (BDT)</t>
        </is>
      </c>
      <c r="M9" s="42" t="inlineStr">
        <is>
          <t>Total Deposits (BDT)</t>
        </is>
      </c>
      <c r="N9" s="42" t="inlineStr">
        <is>
          <t>Total Bill (BDT)</t>
        </is>
      </c>
      <c r="O9" s="42" t="inlineStr">
        <is>
          <t>Closing Balance (BDT)</t>
        </is>
      </c>
    </row>
    <row r="10">
      <c r="A10" s="30" t="n">
        <v>1</v>
      </c>
      <c r="B10" s="9" t="inlineStr">
        <is>
          <t>System Super Admin</t>
        </is>
      </c>
      <c r="C10" s="32" t="inlineStr"/>
      <c r="D10" s="32" t="inlineStr">
        <is>
          <t>01711223344</t>
        </is>
      </c>
      <c r="E10" s="43" t="inlineStr">
        <is>
          <t>superadmin</t>
        </is>
      </c>
      <c r="F10" s="32" t="inlineStr">
        <is>
          <t>No</t>
        </is>
      </c>
      <c r="G10" s="18" t="n">
        <v>0</v>
      </c>
      <c r="H10" s="44">
        <f>IFERROR(VLOOKUP(A10, 'Meals Grid'!$A$8:$AR$1000, 42, FALSE), 0)</f>
        <v/>
      </c>
      <c r="I10" s="45">
        <f>IFERROR(VLOOKUP(A10, 'Meals Grid'!$A$8:$AR$1000, 43, FALSE), 0)</f>
        <v/>
      </c>
      <c r="J10" s="46">
        <f>IFERROR(VLOOKUP(A10, 'Meals Grid'!$A$8:$AR$1000, 44, FALSE), 0) * Setup!$C$9</f>
        <v/>
      </c>
      <c r="K10" s="46">
        <f>IF(F10="Yes", 0, I10 * Setup!$C$10)</f>
        <v/>
      </c>
      <c r="L10" s="46">
        <f>IF(F10="Yes", 0, H10 * Dashboard!$C$9)</f>
        <v/>
      </c>
      <c r="M10" s="46">
        <f>SUMIF(Deposits!$B$7:$B$1000, A10, Deposits!$D$7:$D$1000)</f>
        <v/>
      </c>
      <c r="N10" s="47">
        <f>J10+K10+L10</f>
        <v/>
      </c>
      <c r="O10" s="47">
        <f>G10+M10-N10</f>
        <v/>
      </c>
    </row>
    <row r="11">
      <c r="A11" s="48" t="n">
        <v>4</v>
      </c>
      <c r="B11" s="19" t="inlineStr">
        <is>
          <t>Kamrul Islam</t>
        </is>
      </c>
      <c r="C11" s="49" t="inlineStr">
        <is>
          <t>102</t>
        </is>
      </c>
      <c r="D11" s="49" t="inlineStr">
        <is>
          <t>01511223344</t>
        </is>
      </c>
      <c r="E11" s="50" t="inlineStr">
        <is>
          <t>student</t>
        </is>
      </c>
      <c r="F11" s="49" t="inlineStr">
        <is>
          <t>No</t>
        </is>
      </c>
      <c r="G11" s="20" t="n">
        <v>1500</v>
      </c>
      <c r="H11" s="44">
        <f>IFERROR(VLOOKUP(A11, 'Meals Grid'!$A$8:$AR$1000, 42, FALSE), 0)</f>
        <v/>
      </c>
      <c r="I11" s="45">
        <f>IFERROR(VLOOKUP(A11, 'Meals Grid'!$A$8:$AR$1000, 43, FALSE), 0)</f>
        <v/>
      </c>
      <c r="J11" s="46">
        <f>IFERROR(VLOOKUP(A11, 'Meals Grid'!$A$8:$AR$1000, 44, FALSE), 0) * Setup!$C$9</f>
        <v/>
      </c>
      <c r="K11" s="46">
        <f>IF(F11="Yes", 0, I11 * Setup!$C$10)</f>
        <v/>
      </c>
      <c r="L11" s="46">
        <f>IF(F11="Yes", 0, H11 * Dashboard!$C$9)</f>
        <v/>
      </c>
      <c r="M11" s="46">
        <f>SUMIF(Deposits!$B$7:$B$1000, A11, Deposits!$D$7:$D$1000)</f>
        <v/>
      </c>
      <c r="N11" s="47">
        <f>J11+K11+L11</f>
        <v/>
      </c>
      <c r="O11" s="47">
        <f>G11+M11-N11</f>
        <v/>
      </c>
    </row>
    <row r="12">
      <c r="A12" s="30" t="n">
        <v>5</v>
      </c>
      <c r="B12" s="9" t="inlineStr">
        <is>
          <t>Rakib Hasan</t>
        </is>
      </c>
      <c r="C12" s="32" t="inlineStr">
        <is>
          <t>103</t>
        </is>
      </c>
      <c r="D12" s="32" t="inlineStr">
        <is>
          <t>01611223344</t>
        </is>
      </c>
      <c r="E12" s="43" t="inlineStr">
        <is>
          <t>student</t>
        </is>
      </c>
      <c r="F12" s="32" t="inlineStr">
        <is>
          <t>No</t>
        </is>
      </c>
      <c r="G12" s="18" t="n">
        <v>2000</v>
      </c>
      <c r="H12" s="44">
        <f>IFERROR(VLOOKUP(A12, 'Meals Grid'!$A$8:$AR$1000, 42, FALSE), 0)</f>
        <v/>
      </c>
      <c r="I12" s="45">
        <f>IFERROR(VLOOKUP(A12, 'Meals Grid'!$A$8:$AR$1000, 43, FALSE), 0)</f>
        <v/>
      </c>
      <c r="J12" s="46">
        <f>IFERROR(VLOOKUP(A12, 'Meals Grid'!$A$8:$AR$1000, 44, FALSE), 0) * Setup!$C$9</f>
        <v/>
      </c>
      <c r="K12" s="46">
        <f>IF(F12="Yes", 0, I12 * Setup!$C$10)</f>
        <v/>
      </c>
      <c r="L12" s="46">
        <f>IF(F12="Yes", 0, H12 * Dashboard!$C$9)</f>
        <v/>
      </c>
      <c r="M12" s="46">
        <f>SUMIF(Deposits!$B$7:$B$1000, A12, Deposits!$D$7:$D$1000)</f>
        <v/>
      </c>
      <c r="N12" s="47">
        <f>J12+K12+L12</f>
        <v/>
      </c>
      <c r="O12" s="47">
        <f>G12+M12-N12</f>
        <v/>
      </c>
    </row>
    <row r="13">
      <c r="A13" s="48" t="n">
        <v>2</v>
      </c>
      <c r="B13" s="19" t="inlineStr">
        <is>
          <t>Sabbir Ahmed (Mukti Mgr)</t>
        </is>
      </c>
      <c r="C13" s="49" t="inlineStr">
        <is>
          <t>302</t>
        </is>
      </c>
      <c r="D13" s="49" t="inlineStr">
        <is>
          <t>01911223344</t>
        </is>
      </c>
      <c r="E13" s="50" t="inlineStr">
        <is>
          <t>manager</t>
        </is>
      </c>
      <c r="F13" s="49" t="inlineStr">
        <is>
          <t>Yes</t>
        </is>
      </c>
      <c r="G13" s="20" t="n">
        <v>1566</v>
      </c>
      <c r="H13" s="44">
        <f>IFERROR(VLOOKUP(A13, 'Meals Grid'!$A$8:$AR$1000, 42, FALSE), 0)</f>
        <v/>
      </c>
      <c r="I13" s="45">
        <f>IFERROR(VLOOKUP(A13, 'Meals Grid'!$A$8:$AR$1000, 43, FALSE), 0)</f>
        <v/>
      </c>
      <c r="J13" s="46">
        <f>IFERROR(VLOOKUP(A13, 'Meals Grid'!$A$8:$AR$1000, 44, FALSE), 0) * Setup!$C$9</f>
        <v/>
      </c>
      <c r="K13" s="46">
        <f>IF(F13="Yes", 0, I13 * Setup!$C$10)</f>
        <v/>
      </c>
      <c r="L13" s="46">
        <f>IF(F13="Yes", 0, H13 * Dashboard!$C$9)</f>
        <v/>
      </c>
      <c r="M13" s="46">
        <f>SUMIF(Deposits!$B$7:$B$1000, A13, Deposits!$D$7:$D$1000)</f>
        <v/>
      </c>
      <c r="N13" s="47">
        <f>J13+K13+L13</f>
        <v/>
      </c>
      <c r="O13" s="47">
        <f>G13+M13-N13</f>
        <v/>
      </c>
    </row>
    <row r="14">
      <c r="A14" s="30" t="n">
        <v>7</v>
      </c>
      <c r="B14" s="9" t="inlineStr">
        <is>
          <t>khoka moni</t>
        </is>
      </c>
      <c r="C14" s="32" t="inlineStr">
        <is>
          <t>208</t>
        </is>
      </c>
      <c r="D14" s="32" t="inlineStr">
        <is>
          <t>01521769018</t>
        </is>
      </c>
      <c r="E14" s="43" t="inlineStr">
        <is>
          <t>manager</t>
        </is>
      </c>
      <c r="F14" s="32" t="inlineStr">
        <is>
          <t>No</t>
        </is>
      </c>
      <c r="G14" s="18" t="n">
        <v>1000</v>
      </c>
      <c r="H14" s="44">
        <f>IFERROR(VLOOKUP(A14, 'Meals Grid'!$A$8:$AR$1000, 42, FALSE), 0)</f>
        <v/>
      </c>
      <c r="I14" s="45">
        <f>IFERROR(VLOOKUP(A14, 'Meals Grid'!$A$8:$AR$1000, 43, FALSE), 0)</f>
        <v/>
      </c>
      <c r="J14" s="46">
        <f>IFERROR(VLOOKUP(A14, 'Meals Grid'!$A$8:$AR$1000, 44, FALSE), 0) * Setup!$C$9</f>
        <v/>
      </c>
      <c r="K14" s="46">
        <f>IF(F14="Yes", 0, I14 * Setup!$C$10)</f>
        <v/>
      </c>
      <c r="L14" s="46">
        <f>IF(F14="Yes", 0, H14 * Dashboard!$C$9)</f>
        <v/>
      </c>
      <c r="M14" s="46">
        <f>SUMIF(Deposits!$B$7:$B$1000, A14, Deposits!$D$7:$D$1000)</f>
        <v/>
      </c>
      <c r="N14" s="47">
        <f>J14+K14+L14</f>
        <v/>
      </c>
      <c r="O14" s="47">
        <f>G14+M14-N14</f>
        <v/>
      </c>
    </row>
    <row r="15">
      <c r="A15" s="51" t="n"/>
      <c r="B15" s="51" t="inlineStr">
        <is>
          <t>Total</t>
        </is>
      </c>
      <c r="C15" s="51" t="n"/>
      <c r="D15" s="51" t="n"/>
      <c r="E15" s="51" t="n"/>
      <c r="F15" s="51" t="n"/>
      <c r="G15" s="52">
        <f>SUM(G10:G14)</f>
        <v/>
      </c>
      <c r="H15" s="53">
        <f>SUM(H10:H14)</f>
        <v/>
      </c>
      <c r="I15" s="54">
        <f>SUM(I10:I14)</f>
        <v/>
      </c>
      <c r="J15" s="52">
        <f>SUM(J10:J14)</f>
        <v/>
      </c>
      <c r="K15" s="52">
        <f>SUM(K10:K14)</f>
        <v/>
      </c>
      <c r="L15" s="52">
        <f>SUM(L10:L14)</f>
        <v/>
      </c>
      <c r="M15" s="52">
        <f>SUM(M10:M14)</f>
        <v/>
      </c>
      <c r="N15" s="52">
        <f>SUM(N10:N14)</f>
        <v/>
      </c>
      <c r="O15" s="52">
        <f>SUM(O10:O14)</f>
        <v/>
      </c>
    </row>
  </sheetData>
  <mergeCells count="8">
    <mergeCell ref="O3:P3"/>
    <mergeCell ref="M3:N3"/>
    <mergeCell ref="C3:D3"/>
    <mergeCell ref="A3:B3"/>
    <mergeCell ref="G3:H3"/>
    <mergeCell ref="E3:F3"/>
    <mergeCell ref="K3:L3"/>
    <mergeCell ref="I3:J3"/>
  </mergeCells>
  <dataValidations count="2">
    <dataValidation sqref="E10:E65" showDropDown="0" showInputMessage="0" showErrorMessage="0" allowBlank="1" type="list">
      <formula1>Lists!$A$2:$A$6</formula1>
    </dataValidation>
    <dataValidation sqref="F10:F65" showDropDown="0" showInputMessage="0" showErrorMessage="0" allowBlank="1" type="list">
      <formula1>Lists!$B$2:$B$3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30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3" customWidth="1" min="3" max="3"/>
    <col width="10" customWidth="1" min="4" max="4"/>
    <col width="15" customWidth="1" min="5" max="5"/>
    <col width="10" customWidth="1" min="6" max="6"/>
    <col width="13" customWidth="1" min="7" max="7"/>
    <col width="10" customWidth="1" min="8" max="8"/>
    <col width="13" customWidth="1" min="9" max="9"/>
    <col width="10" customWidth="1" min="10" max="10"/>
    <col width="13" customWidth="1" min="11" max="11"/>
    <col width="10" customWidth="1" min="12" max="12"/>
    <col width="13" customWidth="1" min="13" max="13"/>
    <col width="10" customWidth="1" min="14" max="14"/>
    <col width="13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>
      <c r="A1" s="10" t="inlineStr">
        <is>
          <t>Bazaar Expense Ledger</t>
        </is>
      </c>
    </row>
    <row r="2">
      <c r="A2" s="4" t="inlineStr">
        <is>
          <t>Log daily purchases for cycle (2026-06-15 to 2026-06-30).</t>
        </is>
      </c>
    </row>
    <row r="3" ht="24" customHeight="1">
      <c r="A3" s="5">
        <f>HYPERLINK("#'Instructions'!A1", "📖 Instructions")</f>
        <v/>
      </c>
      <c r="B3" s="6" t="n"/>
      <c r="C3" s="5">
        <f>HYPERLINK("#'Setup'!A1", "⚙️ Setup")</f>
        <v/>
      </c>
      <c r="D3" s="6" t="n"/>
      <c r="E3" s="5">
        <f>HYPERLINK("#'Dashboard'!A1", "📊 Dashboard")</f>
        <v/>
      </c>
      <c r="F3" s="6" t="n"/>
      <c r="G3" s="5">
        <f>HYPERLINK("#'Meals Grid'!A1", "🍽️ Meals Grid")</f>
        <v/>
      </c>
      <c r="H3" s="6" t="n"/>
      <c r="I3" s="5">
        <f>HYPERLINK("#'Members &amp; Balances'!A1", "👥 Members")</f>
        <v/>
      </c>
      <c r="J3" s="6" t="n"/>
      <c r="K3" s="5">
        <f>HYPERLINK("#'Expenses'!A1", "🛒 Expenses")</f>
        <v/>
      </c>
      <c r="L3" s="6" t="n"/>
      <c r="M3" s="5">
        <f>HYPERLINK("#'Deposits'!A1", "💰 Deposits")</f>
        <v/>
      </c>
      <c r="N3" s="6" t="n"/>
      <c r="O3" s="5">
        <f>HYPERLINK("#'bKash Transactions'!A1", "📱 bKash Audit")</f>
        <v/>
      </c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</row>
    <row r="4"/>
    <row r="5"/>
    <row r="6">
      <c r="A6" s="55" t="inlineStr">
        <is>
          <t>Date</t>
        </is>
      </c>
      <c r="B6" s="55" t="inlineStr">
        <is>
          <t>Item Description</t>
        </is>
      </c>
      <c r="C6" s="56" t="inlineStr">
        <is>
          <t>Quantity</t>
        </is>
      </c>
      <c r="D6" s="55" t="inlineStr">
        <is>
          <t>Unit</t>
        </is>
      </c>
      <c r="E6" s="56" t="inlineStr">
        <is>
          <t>Amount (BDT)</t>
        </is>
      </c>
    </row>
    <row r="7">
      <c r="A7" s="32" t="inlineStr">
        <is>
          <t>2026-06-15</t>
        </is>
      </c>
      <c r="B7" s="9" t="inlineStr">
        <is>
          <t>rice</t>
        </is>
      </c>
      <c r="C7" s="15" t="n">
        <v>2</v>
      </c>
      <c r="D7" s="32" t="inlineStr">
        <is>
          <t>kg</t>
        </is>
      </c>
      <c r="E7" s="18" t="n">
        <v>155</v>
      </c>
    </row>
    <row r="8">
      <c r="A8" s="32" t="inlineStr">
        <is>
          <t>2026-06-15</t>
        </is>
      </c>
      <c r="B8" s="9" t="inlineStr">
        <is>
          <t>murgi</t>
        </is>
      </c>
      <c r="C8" s="15" t="n">
        <v>10</v>
      </c>
      <c r="D8" s="32" t="inlineStr">
        <is>
          <t>kg</t>
        </is>
      </c>
      <c r="E8" s="18" t="n">
        <v>5000</v>
      </c>
    </row>
    <row r="9">
      <c r="A9" s="32" t="inlineStr"/>
      <c r="B9" s="9" t="inlineStr"/>
      <c r="C9" s="15" t="inlineStr"/>
      <c r="D9" s="32" t="inlineStr"/>
      <c r="E9" s="18" t="inlineStr"/>
    </row>
    <row r="10">
      <c r="A10" s="32" t="inlineStr"/>
      <c r="B10" s="9" t="inlineStr"/>
      <c r="C10" s="15" t="inlineStr"/>
      <c r="D10" s="32" t="inlineStr"/>
      <c r="E10" s="18" t="inlineStr"/>
    </row>
    <row r="11">
      <c r="A11" s="32" t="inlineStr"/>
      <c r="B11" s="9" t="inlineStr"/>
      <c r="C11" s="15" t="inlineStr"/>
      <c r="D11" s="32" t="inlineStr"/>
      <c r="E11" s="18" t="inlineStr"/>
    </row>
    <row r="12">
      <c r="A12" s="32" t="inlineStr"/>
      <c r="B12" s="9" t="inlineStr"/>
      <c r="C12" s="15" t="inlineStr"/>
      <c r="D12" s="32" t="inlineStr"/>
      <c r="E12" s="18" t="inlineStr"/>
    </row>
    <row r="13">
      <c r="A13" s="32" t="inlineStr"/>
      <c r="B13" s="9" t="inlineStr"/>
      <c r="C13" s="15" t="inlineStr"/>
      <c r="D13" s="32" t="inlineStr"/>
      <c r="E13" s="18" t="inlineStr"/>
    </row>
    <row r="14">
      <c r="A14" s="32" t="inlineStr"/>
      <c r="B14" s="9" t="inlineStr"/>
      <c r="C14" s="15" t="inlineStr"/>
      <c r="D14" s="32" t="inlineStr"/>
      <c r="E14" s="18" t="inlineStr"/>
    </row>
    <row r="15">
      <c r="A15" s="32" t="inlineStr"/>
      <c r="B15" s="9" t="inlineStr"/>
      <c r="C15" s="15" t="inlineStr"/>
      <c r="D15" s="32" t="inlineStr"/>
      <c r="E15" s="18" t="inlineStr"/>
    </row>
    <row r="16">
      <c r="A16" s="32" t="inlineStr"/>
      <c r="B16" s="9" t="inlineStr"/>
      <c r="C16" s="15" t="inlineStr"/>
      <c r="D16" s="32" t="inlineStr"/>
      <c r="E16" s="18" t="inlineStr"/>
    </row>
    <row r="17">
      <c r="A17" s="32" t="inlineStr"/>
      <c r="B17" s="9" t="inlineStr"/>
      <c r="C17" s="15" t="inlineStr"/>
      <c r="D17" s="32" t="inlineStr"/>
      <c r="E17" s="18" t="inlineStr"/>
    </row>
    <row r="18">
      <c r="A18" s="32" t="inlineStr"/>
      <c r="B18" s="9" t="inlineStr"/>
      <c r="C18" s="15" t="inlineStr"/>
      <c r="D18" s="32" t="inlineStr"/>
      <c r="E18" s="18" t="inlineStr"/>
    </row>
    <row r="19">
      <c r="A19" s="32" t="inlineStr"/>
      <c r="B19" s="9" t="inlineStr"/>
      <c r="C19" s="15" t="inlineStr"/>
      <c r="D19" s="32" t="inlineStr"/>
      <c r="E19" s="18" t="inlineStr"/>
    </row>
    <row r="20">
      <c r="A20" s="32" t="inlineStr"/>
      <c r="B20" s="9" t="inlineStr"/>
      <c r="C20" s="15" t="inlineStr"/>
      <c r="D20" s="32" t="inlineStr"/>
      <c r="E20" s="18" t="inlineStr"/>
    </row>
    <row r="21">
      <c r="A21" s="32" t="inlineStr"/>
      <c r="B21" s="9" t="inlineStr"/>
      <c r="C21" s="15" t="inlineStr"/>
      <c r="D21" s="32" t="inlineStr"/>
      <c r="E21" s="18" t="inlineStr"/>
    </row>
    <row r="22">
      <c r="A22" s="32" t="inlineStr"/>
      <c r="B22" s="9" t="inlineStr"/>
      <c r="C22" s="15" t="inlineStr"/>
      <c r="D22" s="32" t="inlineStr"/>
      <c r="E22" s="18" t="inlineStr"/>
    </row>
    <row r="23">
      <c r="A23" s="32" t="inlineStr"/>
      <c r="B23" s="9" t="inlineStr"/>
      <c r="C23" s="15" t="inlineStr"/>
      <c r="D23" s="32" t="inlineStr"/>
      <c r="E23" s="18" t="inlineStr"/>
    </row>
    <row r="24">
      <c r="A24" s="32" t="inlineStr"/>
      <c r="B24" s="9" t="inlineStr"/>
      <c r="C24" s="15" t="inlineStr"/>
      <c r="D24" s="32" t="inlineStr"/>
      <c r="E24" s="18" t="inlineStr"/>
    </row>
    <row r="25">
      <c r="A25" s="32" t="inlineStr"/>
      <c r="B25" s="9" t="inlineStr"/>
      <c r="C25" s="15" t="inlineStr"/>
      <c r="D25" s="32" t="inlineStr"/>
      <c r="E25" s="18" t="inlineStr"/>
    </row>
    <row r="26">
      <c r="A26" s="32" t="inlineStr"/>
      <c r="B26" s="9" t="inlineStr"/>
      <c r="C26" s="15" t="inlineStr"/>
      <c r="D26" s="32" t="inlineStr"/>
      <c r="E26" s="18" t="inlineStr"/>
    </row>
    <row r="27">
      <c r="A27" s="32" t="inlineStr"/>
      <c r="B27" s="9" t="inlineStr"/>
      <c r="C27" s="15" t="inlineStr"/>
      <c r="D27" s="32" t="inlineStr"/>
      <c r="E27" s="18" t="inlineStr"/>
    </row>
    <row r="28">
      <c r="A28" s="32" t="inlineStr"/>
      <c r="B28" s="9" t="inlineStr"/>
      <c r="C28" s="15" t="inlineStr"/>
      <c r="D28" s="32" t="inlineStr"/>
      <c r="E28" s="18" t="inlineStr"/>
    </row>
    <row r="29">
      <c r="A29" s="32" t="inlineStr"/>
      <c r="B29" s="9" t="inlineStr"/>
      <c r="C29" s="15" t="inlineStr"/>
      <c r="D29" s="32" t="inlineStr"/>
      <c r="E29" s="18" t="inlineStr"/>
    </row>
    <row r="30">
      <c r="A30" s="51" t="n"/>
      <c r="B30" s="51" t="inlineStr">
        <is>
          <t>Total Expenses</t>
        </is>
      </c>
      <c r="C30" s="51" t="n"/>
      <c r="D30" s="51" t="n"/>
      <c r="E30" s="52">
        <f>SUM(E7:E29)</f>
        <v/>
      </c>
    </row>
  </sheetData>
  <mergeCells count="8">
    <mergeCell ref="O3:P3"/>
    <mergeCell ref="M3:N3"/>
    <mergeCell ref="C3:D3"/>
    <mergeCell ref="A3:B3"/>
    <mergeCell ref="G3:H3"/>
    <mergeCell ref="E3:F3"/>
    <mergeCell ref="K3:L3"/>
    <mergeCell ref="I3:J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30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4" customWidth="1" min="3" max="3"/>
    <col width="15" customWidth="1" min="4" max="4"/>
    <col width="40" customWidth="1" min="5" max="5"/>
    <col width="10" customWidth="1" min="6" max="6"/>
    <col width="13" customWidth="1" min="7" max="7"/>
    <col width="10" customWidth="1" min="8" max="8"/>
    <col width="13" customWidth="1" min="9" max="9"/>
    <col width="10" customWidth="1" min="10" max="10"/>
    <col width="13" customWidth="1" min="11" max="11"/>
    <col width="10" customWidth="1" min="12" max="12"/>
    <col width="13" customWidth="1" min="13" max="13"/>
    <col width="10" customWidth="1" min="14" max="14"/>
    <col width="13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>
      <c r="A1" s="10" t="inlineStr">
        <is>
          <t>Student Deposit Ledger</t>
        </is>
      </c>
    </row>
    <row r="2">
      <c r="A2" s="4" t="inlineStr">
        <is>
          <t>Log student meal payments (Cash / Bank / bKash) for cycle (2026-06-15 to 2026-06-30).</t>
        </is>
      </c>
    </row>
    <row r="3" ht="24" customHeight="1">
      <c r="A3" s="5">
        <f>HYPERLINK("#'Instructions'!A1", "📖 Instructions")</f>
        <v/>
      </c>
      <c r="B3" s="6" t="n"/>
      <c r="C3" s="5">
        <f>HYPERLINK("#'Setup'!A1", "⚙️ Setup")</f>
        <v/>
      </c>
      <c r="D3" s="6" t="n"/>
      <c r="E3" s="5">
        <f>HYPERLINK("#'Dashboard'!A1", "📊 Dashboard")</f>
        <v/>
      </c>
      <c r="F3" s="6" t="n"/>
      <c r="G3" s="5">
        <f>HYPERLINK("#'Meals Grid'!A1", "🍽️ Meals Grid")</f>
        <v/>
      </c>
      <c r="H3" s="6" t="n"/>
      <c r="I3" s="5">
        <f>HYPERLINK("#'Members &amp; Balances'!A1", "👥 Members")</f>
        <v/>
      </c>
      <c r="J3" s="6" t="n"/>
      <c r="K3" s="5">
        <f>HYPERLINK("#'Expenses'!A1", "🛒 Expenses")</f>
        <v/>
      </c>
      <c r="L3" s="6" t="n"/>
      <c r="M3" s="5">
        <f>HYPERLINK("#'Deposits'!A1", "💰 Deposits")</f>
        <v/>
      </c>
      <c r="N3" s="6" t="n"/>
      <c r="O3" s="5">
        <f>HYPERLINK("#'bKash Transactions'!A1", "📱 bKash Audit")</f>
        <v/>
      </c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</row>
    <row r="4">
      <c r="A4" s="39" t="inlineStr">
        <is>
          <t>Note: Column B (Member ID) uses a dropdown list of valid members. Column C (Name) auto-fills via formula.</t>
        </is>
      </c>
    </row>
    <row r="5"/>
    <row r="6">
      <c r="A6" s="55" t="inlineStr">
        <is>
          <t>Date</t>
        </is>
      </c>
      <c r="B6" s="55" t="inlineStr">
        <is>
          <t>Member ID</t>
        </is>
      </c>
      <c r="C6" s="57" t="inlineStr">
        <is>
          <t>Name (Auto)</t>
        </is>
      </c>
      <c r="D6" s="56" t="inlineStr">
        <is>
          <t>Amount (BDT)</t>
        </is>
      </c>
      <c r="E6" s="55" t="inlineStr">
        <is>
          <t>Description / Transaction Ref</t>
        </is>
      </c>
    </row>
    <row r="7">
      <c r="A7" s="32" t="inlineStr">
        <is>
          <t>2026-06-15</t>
        </is>
      </c>
      <c r="B7" s="30" t="n">
        <v>7</v>
      </c>
      <c r="C7" s="58">
        <f>IFERROR(VLOOKUP(B7, 'Members &amp; Balances'!$A$10:$B$1000, 2, FALSE), "")</f>
        <v/>
      </c>
      <c r="D7" s="18" t="n">
        <v>1000</v>
      </c>
      <c r="E7" s="9" t="inlineStr">
        <is>
          <t>cash</t>
        </is>
      </c>
    </row>
    <row r="8">
      <c r="A8" s="32" t="inlineStr">
        <is>
          <t>2026-06-15</t>
        </is>
      </c>
      <c r="B8" s="30" t="n">
        <v>2</v>
      </c>
      <c r="C8" s="58">
        <f>IFERROR(VLOOKUP(B8, 'Members &amp; Balances'!$A$10:$B$1000, 2, FALSE), "")</f>
        <v/>
      </c>
      <c r="D8" s="18" t="n">
        <v>500</v>
      </c>
      <c r="E8" s="9" t="inlineStr">
        <is>
          <t>bKash Send Money (Sender: 01711223344, TrxID: ZZCNQOFS27)</t>
        </is>
      </c>
    </row>
    <row r="9">
      <c r="A9" s="32" t="inlineStr">
        <is>
          <t>2026-06-15</t>
        </is>
      </c>
      <c r="B9" s="30" t="n">
        <v>2</v>
      </c>
      <c r="C9" s="58">
        <f>IFERROR(VLOOKUP(B9, 'Members &amp; Balances'!$A$10:$B$1000, 2, FALSE), "")</f>
        <v/>
      </c>
      <c r="D9" s="18" t="n">
        <v>566</v>
      </c>
      <c r="E9" s="9" t="inlineStr">
        <is>
          <t>bKash Send Money (Sender: Manager, TrxID: FSDFSADFWE)</t>
        </is>
      </c>
    </row>
    <row r="10">
      <c r="A10" s="32" t="inlineStr"/>
      <c r="B10" s="30" t="inlineStr"/>
      <c r="C10" s="58">
        <f>IFERROR(VLOOKUP(B10, 'Members &amp; Balances'!$A$10:$B$1000, 2, FALSE), "")</f>
        <v/>
      </c>
      <c r="D10" s="18" t="inlineStr"/>
      <c r="E10" s="9" t="inlineStr"/>
    </row>
    <row r="11">
      <c r="A11" s="32" t="inlineStr"/>
      <c r="B11" s="30" t="inlineStr"/>
      <c r="C11" s="58">
        <f>IFERROR(VLOOKUP(B11, 'Members &amp; Balances'!$A$10:$B$1000, 2, FALSE), "")</f>
        <v/>
      </c>
      <c r="D11" s="18" t="inlineStr"/>
      <c r="E11" s="9" t="inlineStr"/>
    </row>
    <row r="12">
      <c r="A12" s="32" t="inlineStr"/>
      <c r="B12" s="30" t="inlineStr"/>
      <c r="C12" s="58">
        <f>IFERROR(VLOOKUP(B12, 'Members &amp; Balances'!$A$10:$B$1000, 2, FALSE), "")</f>
        <v/>
      </c>
      <c r="D12" s="18" t="inlineStr"/>
      <c r="E12" s="9" t="inlineStr"/>
    </row>
    <row r="13">
      <c r="A13" s="32" t="inlineStr"/>
      <c r="B13" s="30" t="inlineStr"/>
      <c r="C13" s="58">
        <f>IFERROR(VLOOKUP(B13, 'Members &amp; Balances'!$A$10:$B$1000, 2, FALSE), "")</f>
        <v/>
      </c>
      <c r="D13" s="18" t="inlineStr"/>
      <c r="E13" s="9" t="inlineStr"/>
    </row>
    <row r="14">
      <c r="A14" s="32" t="inlineStr"/>
      <c r="B14" s="30" t="inlineStr"/>
      <c r="C14" s="58">
        <f>IFERROR(VLOOKUP(B14, 'Members &amp; Balances'!$A$10:$B$1000, 2, FALSE), "")</f>
        <v/>
      </c>
      <c r="D14" s="18" t="inlineStr"/>
      <c r="E14" s="9" t="inlineStr"/>
    </row>
    <row r="15">
      <c r="A15" s="32" t="inlineStr"/>
      <c r="B15" s="30" t="inlineStr"/>
      <c r="C15" s="58">
        <f>IFERROR(VLOOKUP(B15, 'Members &amp; Balances'!$A$10:$B$1000, 2, FALSE), "")</f>
        <v/>
      </c>
      <c r="D15" s="18" t="inlineStr"/>
      <c r="E15" s="9" t="inlineStr"/>
    </row>
    <row r="16">
      <c r="A16" s="32" t="inlineStr"/>
      <c r="B16" s="30" t="inlineStr"/>
      <c r="C16" s="58">
        <f>IFERROR(VLOOKUP(B16, 'Members &amp; Balances'!$A$10:$B$1000, 2, FALSE), "")</f>
        <v/>
      </c>
      <c r="D16" s="18" t="inlineStr"/>
      <c r="E16" s="9" t="inlineStr"/>
    </row>
    <row r="17">
      <c r="A17" s="32" t="inlineStr"/>
      <c r="B17" s="30" t="inlineStr"/>
      <c r="C17" s="58">
        <f>IFERROR(VLOOKUP(B17, 'Members &amp; Balances'!$A$10:$B$1000, 2, FALSE), "")</f>
        <v/>
      </c>
      <c r="D17" s="18" t="inlineStr"/>
      <c r="E17" s="9" t="inlineStr"/>
    </row>
    <row r="18">
      <c r="A18" s="32" t="inlineStr"/>
      <c r="B18" s="30" t="inlineStr"/>
      <c r="C18" s="58">
        <f>IFERROR(VLOOKUP(B18, 'Members &amp; Balances'!$A$10:$B$1000, 2, FALSE), "")</f>
        <v/>
      </c>
      <c r="D18" s="18" t="inlineStr"/>
      <c r="E18" s="9" t="inlineStr"/>
    </row>
    <row r="19">
      <c r="A19" s="32" t="inlineStr"/>
      <c r="B19" s="30" t="inlineStr"/>
      <c r="C19" s="58">
        <f>IFERROR(VLOOKUP(B19, 'Members &amp; Balances'!$A$10:$B$1000, 2, FALSE), "")</f>
        <v/>
      </c>
      <c r="D19" s="18" t="inlineStr"/>
      <c r="E19" s="9" t="inlineStr"/>
    </row>
    <row r="20">
      <c r="A20" s="32" t="inlineStr"/>
      <c r="B20" s="30" t="inlineStr"/>
      <c r="C20" s="58">
        <f>IFERROR(VLOOKUP(B20, 'Members &amp; Balances'!$A$10:$B$1000, 2, FALSE), "")</f>
        <v/>
      </c>
      <c r="D20" s="18" t="inlineStr"/>
      <c r="E20" s="9" t="inlineStr"/>
    </row>
    <row r="21">
      <c r="A21" s="32" t="inlineStr"/>
      <c r="B21" s="30" t="inlineStr"/>
      <c r="C21" s="58">
        <f>IFERROR(VLOOKUP(B21, 'Members &amp; Balances'!$A$10:$B$1000, 2, FALSE), "")</f>
        <v/>
      </c>
      <c r="D21" s="18" t="inlineStr"/>
      <c r="E21" s="9" t="inlineStr"/>
    </row>
    <row r="22">
      <c r="A22" s="32" t="inlineStr"/>
      <c r="B22" s="30" t="inlineStr"/>
      <c r="C22" s="58">
        <f>IFERROR(VLOOKUP(B22, 'Members &amp; Balances'!$A$10:$B$1000, 2, FALSE), "")</f>
        <v/>
      </c>
      <c r="D22" s="18" t="inlineStr"/>
      <c r="E22" s="9" t="inlineStr"/>
    </row>
    <row r="23">
      <c r="A23" s="32" t="inlineStr"/>
      <c r="B23" s="30" t="inlineStr"/>
      <c r="C23" s="58">
        <f>IFERROR(VLOOKUP(B23, 'Members &amp; Balances'!$A$10:$B$1000, 2, FALSE), "")</f>
        <v/>
      </c>
      <c r="D23" s="18" t="inlineStr"/>
      <c r="E23" s="9" t="inlineStr"/>
    </row>
    <row r="24">
      <c r="A24" s="32" t="inlineStr"/>
      <c r="B24" s="30" t="inlineStr"/>
      <c r="C24" s="58">
        <f>IFERROR(VLOOKUP(B24, 'Members &amp; Balances'!$A$10:$B$1000, 2, FALSE), "")</f>
        <v/>
      </c>
      <c r="D24" s="18" t="inlineStr"/>
      <c r="E24" s="9" t="inlineStr"/>
    </row>
    <row r="25">
      <c r="A25" s="32" t="inlineStr"/>
      <c r="B25" s="30" t="inlineStr"/>
      <c r="C25" s="58">
        <f>IFERROR(VLOOKUP(B25, 'Members &amp; Balances'!$A$10:$B$1000, 2, FALSE), "")</f>
        <v/>
      </c>
      <c r="D25" s="18" t="inlineStr"/>
      <c r="E25" s="9" t="inlineStr"/>
    </row>
    <row r="26">
      <c r="A26" s="32" t="inlineStr"/>
      <c r="B26" s="30" t="inlineStr"/>
      <c r="C26" s="58">
        <f>IFERROR(VLOOKUP(B26, 'Members &amp; Balances'!$A$10:$B$1000, 2, FALSE), "")</f>
        <v/>
      </c>
      <c r="D26" s="18" t="inlineStr"/>
      <c r="E26" s="9" t="inlineStr"/>
    </row>
    <row r="27">
      <c r="A27" s="32" t="inlineStr"/>
      <c r="B27" s="30" t="inlineStr"/>
      <c r="C27" s="58">
        <f>IFERROR(VLOOKUP(B27, 'Members &amp; Balances'!$A$10:$B$1000, 2, FALSE), "")</f>
        <v/>
      </c>
      <c r="D27" s="18" t="inlineStr"/>
      <c r="E27" s="9" t="inlineStr"/>
    </row>
    <row r="28">
      <c r="A28" s="32" t="inlineStr"/>
      <c r="B28" s="30" t="inlineStr"/>
      <c r="C28" s="58">
        <f>IFERROR(VLOOKUP(B28, 'Members &amp; Balances'!$A$10:$B$1000, 2, FALSE), "")</f>
        <v/>
      </c>
      <c r="D28" s="18" t="inlineStr"/>
      <c r="E28" s="9" t="inlineStr"/>
    </row>
    <row r="29">
      <c r="A29" s="32" t="inlineStr"/>
      <c r="B29" s="30" t="inlineStr"/>
      <c r="C29" s="58">
        <f>IFERROR(VLOOKUP(B29, 'Members &amp; Balances'!$A$10:$B$1000, 2, FALSE), "")</f>
        <v/>
      </c>
      <c r="D29" s="18" t="inlineStr"/>
      <c r="E29" s="9" t="inlineStr"/>
    </row>
    <row r="30">
      <c r="A30" s="51" t="n"/>
      <c r="B30" s="51" t="inlineStr">
        <is>
          <t>Total Deposits</t>
        </is>
      </c>
      <c r="C30" s="51" t="n"/>
      <c r="D30" s="52">
        <f>SUM(D7:D29)</f>
        <v/>
      </c>
      <c r="E30" s="51" t="n"/>
    </row>
  </sheetData>
  <mergeCells count="8">
    <mergeCell ref="O3:P3"/>
    <mergeCell ref="M3:N3"/>
    <mergeCell ref="C3:D3"/>
    <mergeCell ref="A3:B3"/>
    <mergeCell ref="G3:H3"/>
    <mergeCell ref="E3:F3"/>
    <mergeCell ref="K3:L3"/>
    <mergeCell ref="I3:J3"/>
  </mergeCells>
  <dataValidations count="1">
    <dataValidation sqref="B7:B65" showDropDown="0" showInputMessage="0" showErrorMessage="0" allowBlank="1" type="list">
      <formula1>'Members &amp; Balances'!$A$10:$A$1000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3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9" customWidth="1" min="3" max="3"/>
    <col width="16" customWidth="1" min="4" max="4"/>
    <col width="50" customWidth="1" min="5" max="5"/>
    <col width="16" customWidth="1" min="6" max="6"/>
    <col width="18" customWidth="1" min="7" max="7"/>
    <col width="15" customWidth="1" min="8" max="8"/>
    <col width="22" customWidth="1" min="9" max="9"/>
    <col width="10" customWidth="1" min="10" max="10"/>
    <col width="13" customWidth="1" min="11" max="11"/>
    <col width="10" customWidth="1" min="12" max="12"/>
    <col width="13" customWidth="1" min="13" max="13"/>
    <col width="10" customWidth="1" min="14" max="14"/>
    <col width="13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>
      <c r="A1" s="10" t="inlineStr">
        <is>
          <t>bKash SMS Transaction database &amp; Claims Auditor</t>
        </is>
      </c>
    </row>
    <row r="2">
      <c r="A2" s="4" t="inlineStr">
        <is>
          <t>Verification system matches bKash SMS logs with student claims in the Deposits logbook.</t>
        </is>
      </c>
    </row>
    <row r="3" ht="24" customHeight="1">
      <c r="A3" s="5">
        <f>HYPERLINK("#'Instructions'!A1", "📖 Instructions")</f>
        <v/>
      </c>
      <c r="B3" s="6" t="n"/>
      <c r="C3" s="5">
        <f>HYPERLINK("#'Setup'!A1", "⚙️ Setup")</f>
        <v/>
      </c>
      <c r="D3" s="6" t="n"/>
      <c r="E3" s="5">
        <f>HYPERLINK("#'Dashboard'!A1", "📊 Dashboard")</f>
        <v/>
      </c>
      <c r="F3" s="6" t="n"/>
      <c r="G3" s="5">
        <f>HYPERLINK("#'Meals Grid'!A1", "🍽️ Meals Grid")</f>
        <v/>
      </c>
      <c r="H3" s="6" t="n"/>
      <c r="I3" s="5">
        <f>HYPERLINK("#'Members &amp; Balances'!A1", "👥 Members")</f>
        <v/>
      </c>
      <c r="J3" s="6" t="n"/>
      <c r="K3" s="5">
        <f>HYPERLINK("#'Expenses'!A1", "🛒 Expenses")</f>
        <v/>
      </c>
      <c r="L3" s="6" t="n"/>
      <c r="M3" s="5">
        <f>HYPERLINK("#'Deposits'!A1", "💰 Deposits")</f>
        <v/>
      </c>
      <c r="N3" s="6" t="n"/>
      <c r="O3" s="5">
        <f>HYPERLINK("#'bKash Transactions'!A1", "📱 bKash Audit")</f>
        <v/>
      </c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</row>
    <row r="4">
      <c r="A4" s="39" t="inlineStr">
        <is>
          <t>Note: Columns F to I contain formulas checking Deposits. Do not manually edit them.</t>
        </is>
      </c>
    </row>
    <row r="5"/>
    <row r="6">
      <c r="A6" s="59" t="inlineStr">
        <is>
          <t>Transaction ID</t>
        </is>
      </c>
      <c r="B6" s="55" t="inlineStr">
        <is>
          <t>Sender Mobile</t>
        </is>
      </c>
      <c r="C6" s="56" t="inlineStr">
        <is>
          <t>SMS Amount (BDT)</t>
        </is>
      </c>
      <c r="D6" s="59" t="inlineStr">
        <is>
          <t>Date Received</t>
        </is>
      </c>
      <c r="E6" s="55" t="inlineStr">
        <is>
          <t>SMS Message Text</t>
        </is>
      </c>
      <c r="F6" s="60" t="inlineStr">
        <is>
          <t>Claimed By ID</t>
        </is>
      </c>
      <c r="G6" s="57" t="inlineStr">
        <is>
          <t>Claimed By Name</t>
        </is>
      </c>
      <c r="H6" s="60" t="inlineStr">
        <is>
          <t>Claim Status</t>
        </is>
      </c>
      <c r="I6" s="60" t="inlineStr">
        <is>
          <t>Verification Result</t>
        </is>
      </c>
    </row>
    <row r="7">
      <c r="A7" s="30" t="inlineStr">
        <is>
          <t>ZZCNQOFS27</t>
        </is>
      </c>
      <c r="B7" s="32" t="inlineStr">
        <is>
          <t>01711223344</t>
        </is>
      </c>
      <c r="C7" s="18" t="n">
        <v>500</v>
      </c>
      <c r="D7" s="32" t="inlineStr">
        <is>
          <t>2026-06-15</t>
        </is>
      </c>
      <c r="E7" s="9" t="inlineStr">
        <is>
          <t>You have received send money Tk 500.00 from 01711223344. TrxID ZZCNQOFS27 at 15/06/2026 16:44</t>
        </is>
      </c>
      <c r="F7" s="61">
        <f>IFERROR(INDEX(Deposits!$B$7:$B$1000, MATCH(A7, Deposits!$E$7:$E$1000, 0)), "")</f>
        <v/>
      </c>
      <c r="G7" s="58">
        <f>IF(F7="","",IFERROR(VLOOKUP(F7, 'Members &amp; Balances'!$A$10:$B$1000, 2, FALSE), "Unknown Member"))</f>
        <v/>
      </c>
      <c r="H7" s="62">
        <f>IF(F7="","Unclaimed","Claimed")</f>
        <v/>
      </c>
      <c r="I7" s="62">
        <f>IF(F7="","",IF(IFERROR(INDEX(Deposits!$D$7:$D$1000, MATCH(A7, Deposits!$E$7:$E$1000, 0)), 0)=C7,"Verified","Amount Mismatch!"))</f>
        <v/>
      </c>
    </row>
    <row r="8">
      <c r="A8" s="48" t="inlineStr">
        <is>
          <t>FSDFSADFWE</t>
        </is>
      </c>
      <c r="B8" s="49" t="inlineStr">
        <is>
          <t>Manager</t>
        </is>
      </c>
      <c r="C8" s="20" t="n">
        <v>566</v>
      </c>
      <c r="D8" s="49" t="inlineStr">
        <is>
          <t>2026-06-15</t>
        </is>
      </c>
      <c r="E8" s="19" t="inlineStr">
        <is>
          <t>Manually added by Manager (mukti_mgr)</t>
        </is>
      </c>
      <c r="F8" s="61">
        <f>IFERROR(INDEX(Deposits!$B$7:$B$1000, MATCH(A8, Deposits!$E$7:$E$1000, 0)), "")</f>
        <v/>
      </c>
      <c r="G8" s="58">
        <f>IF(F8="","",IFERROR(VLOOKUP(F8, 'Members &amp; Balances'!$A$10:$B$1000, 2, FALSE), "Unknown Member"))</f>
        <v/>
      </c>
      <c r="H8" s="62">
        <f>IF(F8="","Unclaimed","Claimed")</f>
        <v/>
      </c>
      <c r="I8" s="62">
        <f>IF(F8="","",IF(IFERROR(INDEX(Deposits!$D$7:$D$1000, MATCH(A8, Deposits!$E$7:$E$1000, 0)), 0)=C8,"Verified","Amount Mismatch!"))</f>
        <v/>
      </c>
    </row>
    <row r="9">
      <c r="A9" s="32" t="inlineStr"/>
      <c r="B9" s="32" t="inlineStr"/>
      <c r="C9" s="18" t="inlineStr"/>
      <c r="D9" s="32" t="inlineStr"/>
      <c r="E9" s="9" t="inlineStr"/>
      <c r="F9" s="61">
        <f>IFERROR(INDEX(Deposits!$B$7:$B$1000, MATCH(A9, Deposits!$E$7:$E$1000, 0)), "")</f>
        <v/>
      </c>
      <c r="G9" s="58">
        <f>IF(F9="","",IFERROR(VLOOKUP(F9, 'Members &amp; Balances'!$A$10:$B$1000, 2, FALSE), "Unknown Member"))</f>
        <v/>
      </c>
      <c r="H9" s="62">
        <f>IF(F9="","Unclaimed","Claimed")</f>
        <v/>
      </c>
      <c r="I9" s="62">
        <f>IF(F9="","",IF(IFERROR(INDEX(Deposits!$D$7:$D$1000, MATCH(A9, Deposits!$E$7:$E$1000, 0)), 0)=C9,"Verified","Amount Mismatch!"))</f>
        <v/>
      </c>
    </row>
    <row r="10">
      <c r="A10" s="32" t="inlineStr"/>
      <c r="B10" s="32" t="inlineStr"/>
      <c r="C10" s="18" t="inlineStr"/>
      <c r="D10" s="32" t="inlineStr"/>
      <c r="E10" s="9" t="inlineStr"/>
      <c r="F10" s="61">
        <f>IFERROR(INDEX(Deposits!$B$7:$B$1000, MATCH(A10, Deposits!$E$7:$E$1000, 0)), "")</f>
        <v/>
      </c>
      <c r="G10" s="58">
        <f>IF(F10="","",IFERROR(VLOOKUP(F10, 'Members &amp; Balances'!$A$10:$B$1000, 2, FALSE), "Unknown Member"))</f>
        <v/>
      </c>
      <c r="H10" s="62">
        <f>IF(F10="","Unclaimed","Claimed")</f>
        <v/>
      </c>
      <c r="I10" s="62">
        <f>IF(F10="","",IF(IFERROR(INDEX(Deposits!$D$7:$D$1000, MATCH(A10, Deposits!$E$7:$E$1000, 0)), 0)=C10,"Verified","Amount Mismatch!"))</f>
        <v/>
      </c>
    </row>
    <row r="11">
      <c r="A11" s="32" t="inlineStr"/>
      <c r="B11" s="32" t="inlineStr"/>
      <c r="C11" s="18" t="inlineStr"/>
      <c r="D11" s="32" t="inlineStr"/>
      <c r="E11" s="9" t="inlineStr"/>
      <c r="F11" s="61">
        <f>IFERROR(INDEX(Deposits!$B$7:$B$1000, MATCH(A11, Deposits!$E$7:$E$1000, 0)), "")</f>
        <v/>
      </c>
      <c r="G11" s="58">
        <f>IF(F11="","",IFERROR(VLOOKUP(F11, 'Members &amp; Balances'!$A$10:$B$1000, 2, FALSE), "Unknown Member"))</f>
        <v/>
      </c>
      <c r="H11" s="62">
        <f>IF(F11="","Unclaimed","Claimed")</f>
        <v/>
      </c>
      <c r="I11" s="62">
        <f>IF(F11="","",IF(IFERROR(INDEX(Deposits!$D$7:$D$1000, MATCH(A11, Deposits!$E$7:$E$1000, 0)), 0)=C11,"Verified","Amount Mismatch!"))</f>
        <v/>
      </c>
    </row>
    <row r="12">
      <c r="A12" s="32" t="inlineStr"/>
      <c r="B12" s="32" t="inlineStr"/>
      <c r="C12" s="18" t="inlineStr"/>
      <c r="D12" s="32" t="inlineStr"/>
      <c r="E12" s="9" t="inlineStr"/>
      <c r="F12" s="61">
        <f>IFERROR(INDEX(Deposits!$B$7:$B$1000, MATCH(A12, Deposits!$E$7:$E$1000, 0)), "")</f>
        <v/>
      </c>
      <c r="G12" s="58">
        <f>IF(F12="","",IFERROR(VLOOKUP(F12, 'Members &amp; Balances'!$A$10:$B$1000, 2, FALSE), "Unknown Member"))</f>
        <v/>
      </c>
      <c r="H12" s="62">
        <f>IF(F12="","Unclaimed","Claimed")</f>
        <v/>
      </c>
      <c r="I12" s="62">
        <f>IF(F12="","",IF(IFERROR(INDEX(Deposits!$D$7:$D$1000, MATCH(A12, Deposits!$E$7:$E$1000, 0)), 0)=C12,"Verified","Amount Mismatch!"))</f>
        <v/>
      </c>
    </row>
    <row r="13">
      <c r="A13" s="32" t="inlineStr"/>
      <c r="B13" s="32" t="inlineStr"/>
      <c r="C13" s="18" t="inlineStr"/>
      <c r="D13" s="32" t="inlineStr"/>
      <c r="E13" s="9" t="inlineStr"/>
      <c r="F13" s="61">
        <f>IFERROR(INDEX(Deposits!$B$7:$B$1000, MATCH(A13, Deposits!$E$7:$E$1000, 0)), "")</f>
        <v/>
      </c>
      <c r="G13" s="58">
        <f>IF(F13="","",IFERROR(VLOOKUP(F13, 'Members &amp; Balances'!$A$10:$B$1000, 2, FALSE), "Unknown Member"))</f>
        <v/>
      </c>
      <c r="H13" s="62">
        <f>IF(F13="","Unclaimed","Claimed")</f>
        <v/>
      </c>
      <c r="I13" s="62">
        <f>IF(F13="","",IF(IFERROR(INDEX(Deposits!$D$7:$D$1000, MATCH(A13, Deposits!$E$7:$E$1000, 0)), 0)=C13,"Verified","Amount Mismatch!"))</f>
        <v/>
      </c>
    </row>
    <row r="14">
      <c r="A14" s="32" t="inlineStr"/>
      <c r="B14" s="32" t="inlineStr"/>
      <c r="C14" s="18" t="inlineStr"/>
      <c r="D14" s="32" t="inlineStr"/>
      <c r="E14" s="9" t="inlineStr"/>
      <c r="F14" s="61">
        <f>IFERROR(INDEX(Deposits!$B$7:$B$1000, MATCH(A14, Deposits!$E$7:$E$1000, 0)), "")</f>
        <v/>
      </c>
      <c r="G14" s="58">
        <f>IF(F14="","",IFERROR(VLOOKUP(F14, 'Members &amp; Balances'!$A$10:$B$1000, 2, FALSE), "Unknown Member"))</f>
        <v/>
      </c>
      <c r="H14" s="62">
        <f>IF(F14="","Unclaimed","Claimed")</f>
        <v/>
      </c>
      <c r="I14" s="62">
        <f>IF(F14="","",IF(IFERROR(INDEX(Deposits!$D$7:$D$1000, MATCH(A14, Deposits!$E$7:$E$1000, 0)), 0)=C14,"Verified","Amount Mismatch!"))</f>
        <v/>
      </c>
    </row>
    <row r="15">
      <c r="A15" s="32" t="inlineStr"/>
      <c r="B15" s="32" t="inlineStr"/>
      <c r="C15" s="18" t="inlineStr"/>
      <c r="D15" s="32" t="inlineStr"/>
      <c r="E15" s="9" t="inlineStr"/>
      <c r="F15" s="61">
        <f>IFERROR(INDEX(Deposits!$B$7:$B$1000, MATCH(A15, Deposits!$E$7:$E$1000, 0)), "")</f>
        <v/>
      </c>
      <c r="G15" s="58">
        <f>IF(F15="","",IFERROR(VLOOKUP(F15, 'Members &amp; Balances'!$A$10:$B$1000, 2, FALSE), "Unknown Member"))</f>
        <v/>
      </c>
      <c r="H15" s="62">
        <f>IF(F15="","Unclaimed","Claimed")</f>
        <v/>
      </c>
      <c r="I15" s="62">
        <f>IF(F15="","",IF(IFERROR(INDEX(Deposits!$D$7:$D$1000, MATCH(A15, Deposits!$E$7:$E$1000, 0)), 0)=C15,"Verified","Amount Mismatch!"))</f>
        <v/>
      </c>
    </row>
    <row r="16">
      <c r="A16" s="32" t="inlineStr"/>
      <c r="B16" s="32" t="inlineStr"/>
      <c r="C16" s="18" t="inlineStr"/>
      <c r="D16" s="32" t="inlineStr"/>
      <c r="E16" s="9" t="inlineStr"/>
      <c r="F16" s="61">
        <f>IFERROR(INDEX(Deposits!$B$7:$B$1000, MATCH(A16, Deposits!$E$7:$E$1000, 0)), "")</f>
        <v/>
      </c>
      <c r="G16" s="58">
        <f>IF(F16="","",IFERROR(VLOOKUP(F16, 'Members &amp; Balances'!$A$10:$B$1000, 2, FALSE), "Unknown Member"))</f>
        <v/>
      </c>
      <c r="H16" s="62">
        <f>IF(F16="","Unclaimed","Claimed")</f>
        <v/>
      </c>
      <c r="I16" s="62">
        <f>IF(F16="","",IF(IFERROR(INDEX(Deposits!$D$7:$D$1000, MATCH(A16, Deposits!$E$7:$E$1000, 0)), 0)=C16,"Verified","Amount Mismatch!"))</f>
        <v/>
      </c>
    </row>
    <row r="17">
      <c r="A17" s="32" t="inlineStr"/>
      <c r="B17" s="32" t="inlineStr"/>
      <c r="C17" s="18" t="inlineStr"/>
      <c r="D17" s="32" t="inlineStr"/>
      <c r="E17" s="9" t="inlineStr"/>
      <c r="F17" s="61">
        <f>IFERROR(INDEX(Deposits!$B$7:$B$1000, MATCH(A17, Deposits!$E$7:$E$1000, 0)), "")</f>
        <v/>
      </c>
      <c r="G17" s="58">
        <f>IF(F17="","",IFERROR(VLOOKUP(F17, 'Members &amp; Balances'!$A$10:$B$1000, 2, FALSE), "Unknown Member"))</f>
        <v/>
      </c>
      <c r="H17" s="62">
        <f>IF(F17="","Unclaimed","Claimed")</f>
        <v/>
      </c>
      <c r="I17" s="62">
        <f>IF(F17="","",IF(IFERROR(INDEX(Deposits!$D$7:$D$1000, MATCH(A17, Deposits!$E$7:$E$1000, 0)), 0)=C17,"Verified","Amount Mismatch!"))</f>
        <v/>
      </c>
    </row>
    <row r="18">
      <c r="A18" s="32" t="inlineStr"/>
      <c r="B18" s="32" t="inlineStr"/>
      <c r="C18" s="18" t="inlineStr"/>
      <c r="D18" s="32" t="inlineStr"/>
      <c r="E18" s="9" t="inlineStr"/>
      <c r="F18" s="61">
        <f>IFERROR(INDEX(Deposits!$B$7:$B$1000, MATCH(A18, Deposits!$E$7:$E$1000, 0)), "")</f>
        <v/>
      </c>
      <c r="G18" s="58">
        <f>IF(F18="","",IFERROR(VLOOKUP(F18, 'Members &amp; Balances'!$A$10:$B$1000, 2, FALSE), "Unknown Member"))</f>
        <v/>
      </c>
      <c r="H18" s="62">
        <f>IF(F18="","Unclaimed","Claimed")</f>
        <v/>
      </c>
      <c r="I18" s="62">
        <f>IF(F18="","",IF(IFERROR(INDEX(Deposits!$D$7:$D$1000, MATCH(A18, Deposits!$E$7:$E$1000, 0)), 0)=C18,"Verified","Amount Mismatch!"))</f>
        <v/>
      </c>
    </row>
    <row r="19">
      <c r="A19" s="32" t="inlineStr"/>
      <c r="B19" s="32" t="inlineStr"/>
      <c r="C19" s="18" t="inlineStr"/>
      <c r="D19" s="32" t="inlineStr"/>
      <c r="E19" s="9" t="inlineStr"/>
      <c r="F19" s="61">
        <f>IFERROR(INDEX(Deposits!$B$7:$B$1000, MATCH(A19, Deposits!$E$7:$E$1000, 0)), "")</f>
        <v/>
      </c>
      <c r="G19" s="58">
        <f>IF(F19="","",IFERROR(VLOOKUP(F19, 'Members &amp; Balances'!$A$10:$B$1000, 2, FALSE), "Unknown Member"))</f>
        <v/>
      </c>
      <c r="H19" s="62">
        <f>IF(F19="","Unclaimed","Claimed")</f>
        <v/>
      </c>
      <c r="I19" s="62">
        <f>IF(F19="","",IF(IFERROR(INDEX(Deposits!$D$7:$D$1000, MATCH(A19, Deposits!$E$7:$E$1000, 0)), 0)=C19,"Verified","Amount Mismatch!"))</f>
        <v/>
      </c>
    </row>
    <row r="20">
      <c r="A20" s="32" t="inlineStr"/>
      <c r="B20" s="32" t="inlineStr"/>
      <c r="C20" s="18" t="inlineStr"/>
      <c r="D20" s="32" t="inlineStr"/>
      <c r="E20" s="9" t="inlineStr"/>
      <c r="F20" s="61">
        <f>IFERROR(INDEX(Deposits!$B$7:$B$1000, MATCH(A20, Deposits!$E$7:$E$1000, 0)), "")</f>
        <v/>
      </c>
      <c r="G20" s="58">
        <f>IF(F20="","",IFERROR(VLOOKUP(F20, 'Members &amp; Balances'!$A$10:$B$1000, 2, FALSE), "Unknown Member"))</f>
        <v/>
      </c>
      <c r="H20" s="62">
        <f>IF(F20="","Unclaimed","Claimed")</f>
        <v/>
      </c>
      <c r="I20" s="62">
        <f>IF(F20="","",IF(IFERROR(INDEX(Deposits!$D$7:$D$1000, MATCH(A20, Deposits!$E$7:$E$1000, 0)), 0)=C20,"Verified","Amount Mismatch!"))</f>
        <v/>
      </c>
    </row>
    <row r="21">
      <c r="A21" s="32" t="inlineStr"/>
      <c r="B21" s="32" t="inlineStr"/>
      <c r="C21" s="18" t="inlineStr"/>
      <c r="D21" s="32" t="inlineStr"/>
      <c r="E21" s="9" t="inlineStr"/>
      <c r="F21" s="61">
        <f>IFERROR(INDEX(Deposits!$B$7:$B$1000, MATCH(A21, Deposits!$E$7:$E$1000, 0)), "")</f>
        <v/>
      </c>
      <c r="G21" s="58">
        <f>IF(F21="","",IFERROR(VLOOKUP(F21, 'Members &amp; Balances'!$A$10:$B$1000, 2, FALSE), "Unknown Member"))</f>
        <v/>
      </c>
      <c r="H21" s="62">
        <f>IF(F21="","Unclaimed","Claimed")</f>
        <v/>
      </c>
      <c r="I21" s="62">
        <f>IF(F21="","",IF(IFERROR(INDEX(Deposits!$D$7:$D$1000, MATCH(A21, Deposits!$E$7:$E$1000, 0)), 0)=C21,"Verified","Amount Mismatch!"))</f>
        <v/>
      </c>
    </row>
    <row r="22">
      <c r="A22" s="32" t="inlineStr"/>
      <c r="B22" s="32" t="inlineStr"/>
      <c r="C22" s="18" t="inlineStr"/>
      <c r="D22" s="32" t="inlineStr"/>
      <c r="E22" s="9" t="inlineStr"/>
      <c r="F22" s="61">
        <f>IFERROR(INDEX(Deposits!$B$7:$B$1000, MATCH(A22, Deposits!$E$7:$E$1000, 0)), "")</f>
        <v/>
      </c>
      <c r="G22" s="58">
        <f>IF(F22="","",IFERROR(VLOOKUP(F22, 'Members &amp; Balances'!$A$10:$B$1000, 2, FALSE), "Unknown Member"))</f>
        <v/>
      </c>
      <c r="H22" s="62">
        <f>IF(F22="","Unclaimed","Claimed")</f>
        <v/>
      </c>
      <c r="I22" s="62">
        <f>IF(F22="","",IF(IFERROR(INDEX(Deposits!$D$7:$D$1000, MATCH(A22, Deposits!$E$7:$E$1000, 0)), 0)=C22,"Verified","Amount Mismatch!"))</f>
        <v/>
      </c>
    </row>
    <row r="23">
      <c r="A23" s="32" t="inlineStr"/>
      <c r="B23" s="32" t="inlineStr"/>
      <c r="C23" s="18" t="inlineStr"/>
      <c r="D23" s="32" t="inlineStr"/>
      <c r="E23" s="9" t="inlineStr"/>
      <c r="F23" s="61">
        <f>IFERROR(INDEX(Deposits!$B$7:$B$1000, MATCH(A23, Deposits!$E$7:$E$1000, 0)), "")</f>
        <v/>
      </c>
      <c r="G23" s="58">
        <f>IF(F23="","",IFERROR(VLOOKUP(F23, 'Members &amp; Balances'!$A$10:$B$1000, 2, FALSE), "Unknown Member"))</f>
        <v/>
      </c>
      <c r="H23" s="62">
        <f>IF(F23="","Unclaimed","Claimed")</f>
        <v/>
      </c>
      <c r="I23" s="62">
        <f>IF(F23="","",IF(IFERROR(INDEX(Deposits!$D$7:$D$1000, MATCH(A23, Deposits!$E$7:$E$1000, 0)), 0)=C23,"Verified","Amount Mismatch!"))</f>
        <v/>
      </c>
    </row>
  </sheetData>
  <mergeCells count="8">
    <mergeCell ref="O3:P3"/>
    <mergeCell ref="M3:N3"/>
    <mergeCell ref="C3:D3"/>
    <mergeCell ref="A3:B3"/>
    <mergeCell ref="G3:H3"/>
    <mergeCell ref="E3:F3"/>
    <mergeCell ref="K3:L3"/>
    <mergeCell ref="I3:J3"/>
  </mergeCells>
  <conditionalFormatting sqref="I7:I200">
    <cfRule type="expression" priority="1" dxfId="2" stopIfTrue="1">
      <formula>I7="Amount Mismatch!"</formula>
    </cfRule>
  </conditionalFormatting>
  <conditionalFormatting sqref="H7:H200">
    <cfRule type="expression" priority="2" dxfId="2" stopIfTrue="1">
      <formula>H7="Unclaimed"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2026-06-16T10:04:22Z</dcterms:created>
  <dcterms:modified xsi:type="dcterms:W3CDTF">2026-06-16T10:04:23Z</dcterms:modified>
</cp:coreProperties>
</file>